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d63ba1747cbc36/Onedrive Documents/01_Projects/P01_MS1/"/>
    </mc:Choice>
  </mc:AlternateContent>
  <xr:revisionPtr revIDLastSave="9" documentId="8_{D3308215-7022-4A39-A9F5-FE0D05133560}" xr6:coauthVersionLast="47" xr6:coauthVersionMax="47" xr10:uidLastSave="{82D536C4-D391-4D60-B3F6-B45FE8EB4F1F}"/>
  <bookViews>
    <workbookView xWindow="-98" yWindow="-98" windowWidth="21795" windowHeight="12975" xr2:uid="{4D840D0F-2D92-479B-8A77-C125F0D9CAD1}"/>
  </bookViews>
  <sheets>
    <sheet name="DataTAB" sheetId="2" r:id="rId1"/>
    <sheet name="BD_Two-way Anova" sheetId="1" r:id="rId2"/>
    <sheet name="BD_Two-was Anova Result" sheetId="3" r:id="rId3"/>
    <sheet name="SOM_Two-way Anova" sheetId="4" r:id="rId4"/>
    <sheet name="SOM-Two-way Anova Result" sheetId="5" r:id="rId5"/>
    <sheet name="pH_Two-way Anova" sheetId="6" r:id="rId6"/>
    <sheet name="pH_TWo-way Anova Results" sheetId="7" r:id="rId7"/>
  </sheets>
  <definedNames>
    <definedName name="_xlnm._FilterDatabase" localSheetId="0" hidden="1">DataTAB!$A$1:$G$91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5" i="4"/>
  <c r="B10" i="1"/>
  <c r="C10" i="6"/>
  <c r="C9" i="6"/>
  <c r="C8" i="6"/>
  <c r="C7" i="6"/>
  <c r="C6" i="6"/>
  <c r="C5" i="6"/>
  <c r="C4" i="6"/>
  <c r="C3" i="6"/>
  <c r="C2" i="6"/>
  <c r="B10" i="6"/>
  <c r="B9" i="6"/>
  <c r="B8" i="6"/>
  <c r="B7" i="6"/>
  <c r="B6" i="6"/>
  <c r="B4" i="6"/>
  <c r="B3" i="6"/>
  <c r="B2" i="6"/>
  <c r="C10" i="4"/>
  <c r="B10" i="4"/>
  <c r="C8" i="4"/>
  <c r="B8" i="4"/>
  <c r="C7" i="4"/>
  <c r="C5" i="4"/>
  <c r="C2" i="4"/>
  <c r="B3" i="4"/>
  <c r="B2" i="4"/>
  <c r="C9" i="4"/>
  <c r="C6" i="4"/>
  <c r="C4" i="4"/>
  <c r="C3" i="4"/>
  <c r="B9" i="4"/>
  <c r="B7" i="4"/>
  <c r="B6" i="4"/>
  <c r="B4" i="4"/>
  <c r="C10" i="1" l="1"/>
  <c r="C9" i="1"/>
  <c r="C8" i="1"/>
  <c r="C7" i="1"/>
  <c r="C6" i="1"/>
  <c r="C5" i="1"/>
  <c r="C4" i="1"/>
  <c r="C3" i="1"/>
  <c r="C2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<sst xmlns="http://schemas.openxmlformats.org/spreadsheetml/2006/main" count="520" uniqueCount="75">
  <si>
    <t>Depth</t>
  </si>
  <si>
    <t>Forest</t>
  </si>
  <si>
    <t>Worm_Type</t>
  </si>
  <si>
    <t>Point_ID</t>
  </si>
  <si>
    <t>Depth_cm</t>
  </si>
  <si>
    <t>SOM_Percent</t>
  </si>
  <si>
    <t>pH</t>
  </si>
  <si>
    <t>Acer</t>
  </si>
  <si>
    <t>L</t>
  </si>
  <si>
    <t>Acer-L1</t>
  </si>
  <si>
    <t>0-5</t>
  </si>
  <si>
    <t>Acer-L2</t>
  </si>
  <si>
    <t>Acer-L3</t>
  </si>
  <si>
    <t>Acer-L4</t>
  </si>
  <si>
    <t>Acer-L5</t>
  </si>
  <si>
    <t>5-10</t>
  </si>
  <si>
    <t>10-15</t>
  </si>
  <si>
    <t>A</t>
  </si>
  <si>
    <t>Acer-A1</t>
  </si>
  <si>
    <t>Acer-A2</t>
  </si>
  <si>
    <t>Acer-A3</t>
  </si>
  <si>
    <t>Acer-A4</t>
  </si>
  <si>
    <t>Acer-A5</t>
  </si>
  <si>
    <t>Magnolia</t>
  </si>
  <si>
    <t>Magnolia-L1</t>
  </si>
  <si>
    <t>Magnolia-A1</t>
  </si>
  <si>
    <t>Magnolia-L2</t>
  </si>
  <si>
    <t>Magnolia-A2</t>
  </si>
  <si>
    <t>Magnolia-L3</t>
  </si>
  <si>
    <t>Magnolia-L4</t>
  </si>
  <si>
    <t>Magnolia-L5</t>
  </si>
  <si>
    <t>Magnolia-A3</t>
  </si>
  <si>
    <t>Magnolia-A4</t>
  </si>
  <si>
    <t>Magnolia-A5</t>
  </si>
  <si>
    <t>WoodDuck</t>
  </si>
  <si>
    <t>WoodDuck-L1</t>
  </si>
  <si>
    <t>WoodDuck-A1</t>
  </si>
  <si>
    <t>WoodDuck-L2</t>
  </si>
  <si>
    <t>WoodDuck-L3</t>
  </si>
  <si>
    <t>WoodDuck-L4</t>
  </si>
  <si>
    <t>WoodDuck-L5</t>
  </si>
  <si>
    <t>WoodDuck-A2</t>
  </si>
  <si>
    <t>WoodDuck-A3</t>
  </si>
  <si>
    <t>WoodDuck-A4</t>
  </si>
  <si>
    <t>WoodDuck-A5</t>
  </si>
  <si>
    <t>Amynthas (A-sites)</t>
  </si>
  <si>
    <t>Lumbricus (L-sites)</t>
  </si>
  <si>
    <t>0–5 cm</t>
  </si>
  <si>
    <t>5–10 cm</t>
  </si>
  <si>
    <t>10–15 cm</t>
  </si>
  <si>
    <t>Anova: Two-Factor With Replication</t>
  </si>
  <si>
    <t>SUMMARY</t>
  </si>
  <si>
    <t>Total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</si>
  <si>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</si>
  <si>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</si>
  <si>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</si>
  <si>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</si>
  <si>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</si>
  <si>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</si>
  <si>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</si>
  <si>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</si>
  <si>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</si>
  <si>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</si>
  <si>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</si>
  <si>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</si>
  <si>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Within</t>
  </si>
  <si>
    <t>Columns (Worm Type)</t>
  </si>
  <si>
    <t>Sample (Soil Depth)</t>
  </si>
  <si>
    <t>Interaction (Worm X Depth)</t>
  </si>
  <si>
    <t>&lt;0.05: significant</t>
  </si>
  <si>
    <t>Interaction (Worm Type X Soil Depth)</t>
  </si>
  <si>
    <t>p&lt;0.05: significant</t>
  </si>
  <si>
    <t>Columns (Worm Types)</t>
  </si>
  <si>
    <t>p&lt;0.05 significant</t>
  </si>
  <si>
    <t>Bulk_Density (g/cm^3)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</si>
</sst>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03030"/>
      <name val="Google Sans Text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303030"/>
      <name val="Google Sans Text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Google Sans Text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0" fillId="0" borderId="3" xfId="0" applyBorder="1"/>
    <xf numFmtId="0" fontId="7" fillId="0" borderId="4" xfId="0" applyFont="1" applyBorder="1" applyAlignment="1">
      <alignment horizontal="center"/>
    </xf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right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wrapText="1"/>
    </xf>
    <xf numFmtId="0" fontId="4" fillId="0" borderId="5" xfId="0" applyFont="1" applyBorder="1"/>
    <xf numFmtId="0" fontId="4" fillId="0" borderId="0" xfId="0" applyFont="1" applyBorder="1"/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B5B3-03C6-4FAB-8E0C-3F25B998B3B5}">
  <dimension ref="A1:G91"/>
  <sheetViews>
    <sheetView tabSelected="1" topLeftCell="A5" workbookViewId="0">
      <selection activeCell="E29" sqref="E29"/>
    </sheetView>
  </sheetViews>
  <sheetFormatPr defaultRowHeight="14.25"/>
  <cols>
    <col min="1" max="1" width="10.59765625" style="2" bestFit="1" customWidth="1"/>
    <col min="2" max="2" width="23" style="2" customWidth="1"/>
    <col min="3" max="3" width="13.59765625" style="2" bestFit="1" customWidth="1"/>
    <col min="4" max="4" width="11.1328125" style="4" bestFit="1" customWidth="1"/>
    <col min="5" max="5" width="14.1328125" style="2" customWidth="1"/>
    <col min="6" max="6" width="15.73046875" style="14" customWidth="1"/>
    <col min="7" max="7" width="9" style="2" customWidth="1"/>
  </cols>
  <sheetData>
    <row r="1" spans="1:7" ht="27.75">
      <c r="A1" s="1" t="s">
        <v>1</v>
      </c>
      <c r="B1" s="1" t="s">
        <v>2</v>
      </c>
      <c r="C1" s="1" t="s">
        <v>3</v>
      </c>
      <c r="D1" s="3" t="s">
        <v>4</v>
      </c>
      <c r="E1" s="1" t="s">
        <v>74</v>
      </c>
      <c r="F1" s="13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4" t="s">
        <v>10</v>
      </c>
      <c r="E2" s="2">
        <v>0.81512177390039986</v>
      </c>
      <c r="F2" s="14">
        <v>6.0213143917600034</v>
      </c>
      <c r="G2" s="5">
        <v>5.97</v>
      </c>
    </row>
    <row r="3" spans="1:7">
      <c r="A3" s="2" t="s">
        <v>7</v>
      </c>
      <c r="B3" s="2" t="s">
        <v>8</v>
      </c>
      <c r="C3" s="2" t="s">
        <v>11</v>
      </c>
      <c r="D3" s="4" t="s">
        <v>10</v>
      </c>
      <c r="E3" s="2">
        <v>1.0266448564158488</v>
      </c>
      <c r="F3" s="14">
        <v>3.9888226857655571</v>
      </c>
      <c r="G3" s="5">
        <v>5.57</v>
      </c>
    </row>
    <row r="4" spans="1:7">
      <c r="A4" s="2" t="s">
        <v>7</v>
      </c>
      <c r="B4" s="2" t="s">
        <v>8</v>
      </c>
      <c r="C4" s="2" t="s">
        <v>12</v>
      </c>
      <c r="D4" s="4" t="s">
        <v>10</v>
      </c>
      <c r="E4" s="2">
        <v>0.93191566703017081</v>
      </c>
      <c r="F4" s="14">
        <v>4.0587495925290913</v>
      </c>
      <c r="G4" s="5">
        <v>5.59</v>
      </c>
    </row>
    <row r="5" spans="1:7">
      <c r="A5" s="2" t="s">
        <v>7</v>
      </c>
      <c r="B5" s="2" t="s">
        <v>8</v>
      </c>
      <c r="C5" s="2" t="s">
        <v>13</v>
      </c>
      <c r="D5" s="4" t="s">
        <v>10</v>
      </c>
      <c r="E5" s="2">
        <v>1.0138858596873863</v>
      </c>
      <c r="F5" s="14">
        <v>4.4145622628693291</v>
      </c>
      <c r="G5" s="5">
        <v>5.82</v>
      </c>
    </row>
    <row r="6" spans="1:7">
      <c r="A6" s="2" t="s">
        <v>7</v>
      </c>
      <c r="B6" s="2" t="s">
        <v>8</v>
      </c>
      <c r="C6" s="2" t="s">
        <v>14</v>
      </c>
      <c r="D6" s="4" t="s">
        <v>10</v>
      </c>
      <c r="E6" s="2">
        <v>0.89400218102508167</v>
      </c>
      <c r="F6" s="14">
        <v>4.7094588201203269</v>
      </c>
      <c r="G6" s="5">
        <v>5.73</v>
      </c>
    </row>
    <row r="7" spans="1:7">
      <c r="A7" s="2" t="s">
        <v>7</v>
      </c>
      <c r="B7" s="2" t="s">
        <v>17</v>
      </c>
      <c r="C7" s="2" t="s">
        <v>18</v>
      </c>
      <c r="D7" s="4" t="s">
        <v>10</v>
      </c>
      <c r="E7" s="21">
        <v>0.7078516902944384</v>
      </c>
      <c r="F7" s="14">
        <v>7.4240994255823889</v>
      </c>
      <c r="G7" s="5">
        <v>6.32</v>
      </c>
    </row>
    <row r="8" spans="1:7">
      <c r="A8" s="2" t="s">
        <v>7</v>
      </c>
      <c r="B8" s="2" t="s">
        <v>17</v>
      </c>
      <c r="C8" s="2" t="s">
        <v>19</v>
      </c>
      <c r="D8" s="4" t="s">
        <v>10</v>
      </c>
      <c r="E8" s="21">
        <v>0.8033078880407124</v>
      </c>
      <c r="F8" s="14">
        <v>7.9822424934193172</v>
      </c>
      <c r="G8" s="5">
        <v>6.27</v>
      </c>
    </row>
    <row r="9" spans="1:7">
      <c r="A9" s="2" t="s">
        <v>7</v>
      </c>
      <c r="B9" s="2" t="s">
        <v>17</v>
      </c>
      <c r="C9" s="2" t="s">
        <v>20</v>
      </c>
      <c r="D9" s="4" t="s">
        <v>10</v>
      </c>
      <c r="E9" s="21">
        <v>0.79774627408215182</v>
      </c>
      <c r="F9" s="14">
        <v>6.7361957970451414</v>
      </c>
      <c r="G9" s="5">
        <v>6.21</v>
      </c>
    </row>
    <row r="10" spans="1:7">
      <c r="A10" s="2" t="s">
        <v>7</v>
      </c>
      <c r="B10" s="2" t="s">
        <v>17</v>
      </c>
      <c r="C10" s="2" t="s">
        <v>21</v>
      </c>
      <c r="D10" s="4" t="s">
        <v>10</v>
      </c>
      <c r="E10" s="21">
        <v>0.71686659396583052</v>
      </c>
      <c r="F10" s="14">
        <v>8.5005553777251528</v>
      </c>
      <c r="G10" s="5">
        <v>6.44</v>
      </c>
    </row>
    <row r="11" spans="1:7">
      <c r="A11" s="2" t="s">
        <v>7</v>
      </c>
      <c r="B11" s="2" t="s">
        <v>17</v>
      </c>
      <c r="C11" s="2" t="s">
        <v>22</v>
      </c>
      <c r="D11" s="4" t="s">
        <v>10</v>
      </c>
      <c r="E11" s="21">
        <v>0.69792802617230087</v>
      </c>
      <c r="F11" s="14">
        <v>10.001818641194712</v>
      </c>
      <c r="G11" s="5">
        <v>6.33</v>
      </c>
    </row>
    <row r="12" spans="1:7">
      <c r="A12" s="2" t="s">
        <v>23</v>
      </c>
      <c r="B12" s="2" t="s">
        <v>8</v>
      </c>
      <c r="C12" s="2" t="s">
        <v>24</v>
      </c>
      <c r="D12" s="4" t="s">
        <v>10</v>
      </c>
      <c r="E12" s="2">
        <v>0.93122500908760442</v>
      </c>
      <c r="F12" s="14">
        <v>5.4455811794103486</v>
      </c>
      <c r="G12" s="5">
        <v>5.57</v>
      </c>
    </row>
    <row r="13" spans="1:7">
      <c r="A13" s="2" t="s">
        <v>23</v>
      </c>
      <c r="B13" s="2" t="s">
        <v>8</v>
      </c>
      <c r="C13" s="2" t="s">
        <v>26</v>
      </c>
      <c r="D13" s="4" t="s">
        <v>10</v>
      </c>
      <c r="E13" s="2">
        <v>0.81115957833515084</v>
      </c>
      <c r="F13" s="14">
        <v>6.5005434842348278</v>
      </c>
      <c r="G13" s="5">
        <v>5.54</v>
      </c>
    </row>
    <row r="14" spans="1:7">
      <c r="A14" s="2" t="s">
        <v>23</v>
      </c>
      <c r="B14" s="2" t="s">
        <v>8</v>
      </c>
      <c r="C14" s="2" t="s">
        <v>28</v>
      </c>
      <c r="D14" s="4" t="s">
        <v>10</v>
      </c>
      <c r="E14" s="2">
        <v>0.88229734641948387</v>
      </c>
      <c r="F14" s="14">
        <v>5.7747384677803906</v>
      </c>
      <c r="G14" s="5">
        <v>5.62</v>
      </c>
    </row>
    <row r="15" spans="1:7">
      <c r="A15" s="2" t="s">
        <v>23</v>
      </c>
      <c r="B15" s="2" t="s">
        <v>8</v>
      </c>
      <c r="C15" s="2" t="s">
        <v>29</v>
      </c>
      <c r="D15" s="4" t="s">
        <v>10</v>
      </c>
      <c r="E15" s="2">
        <v>0.82311886586695737</v>
      </c>
      <c r="F15" s="14">
        <v>6.937541725005711</v>
      </c>
      <c r="G15" s="5">
        <v>5.69</v>
      </c>
    </row>
    <row r="16" spans="1:7">
      <c r="A16" s="2" t="s">
        <v>23</v>
      </c>
      <c r="B16" s="2" t="s">
        <v>8</v>
      </c>
      <c r="C16" s="2" t="s">
        <v>30</v>
      </c>
      <c r="D16" s="4" t="s">
        <v>10</v>
      </c>
      <c r="E16" s="2">
        <v>0.86950199927299154</v>
      </c>
      <c r="F16" s="14">
        <v>6.0894303505696588</v>
      </c>
      <c r="G16" s="5">
        <v>5.75</v>
      </c>
    </row>
    <row r="17" spans="1:7">
      <c r="A17" s="2" t="s">
        <v>23</v>
      </c>
      <c r="B17" s="2" t="s">
        <v>17</v>
      </c>
      <c r="C17" s="2" t="s">
        <v>25</v>
      </c>
      <c r="D17" s="4" t="s">
        <v>10</v>
      </c>
      <c r="E17" s="21">
        <v>0.49934569247546345</v>
      </c>
      <c r="F17" s="14">
        <v>10.610145571771891</v>
      </c>
      <c r="G17" s="5">
        <v>5.82</v>
      </c>
    </row>
    <row r="18" spans="1:7">
      <c r="A18" s="2" t="s">
        <v>23</v>
      </c>
      <c r="B18" s="2" t="s">
        <v>17</v>
      </c>
      <c r="C18" s="2" t="s">
        <v>27</v>
      </c>
      <c r="D18" s="4" t="s">
        <v>10</v>
      </c>
      <c r="E18" s="21">
        <v>0.37444565612504543</v>
      </c>
      <c r="F18" s="14">
        <v>13.036049620731641</v>
      </c>
      <c r="G18" s="5">
        <v>6.32</v>
      </c>
    </row>
    <row r="19" spans="1:7">
      <c r="A19" s="2" t="s">
        <v>23</v>
      </c>
      <c r="B19" s="2" t="s">
        <v>17</v>
      </c>
      <c r="C19" s="2" t="s">
        <v>31</v>
      </c>
      <c r="D19" s="4" t="s">
        <v>10</v>
      </c>
      <c r="E19" s="21">
        <v>0.73278807706288618</v>
      </c>
      <c r="F19" s="14">
        <v>4.3724126215882171</v>
      </c>
      <c r="G19" s="5">
        <v>5.24</v>
      </c>
    </row>
    <row r="20" spans="1:7">
      <c r="A20" s="2" t="s">
        <v>23</v>
      </c>
      <c r="B20" s="2" t="s">
        <v>17</v>
      </c>
      <c r="C20" s="2" t="s">
        <v>32</v>
      </c>
      <c r="D20" s="4" t="s">
        <v>10</v>
      </c>
      <c r="E20" s="21">
        <v>0.4727008360596146</v>
      </c>
      <c r="F20" s="14">
        <v>6.0073215302518994</v>
      </c>
      <c r="G20" s="5">
        <v>6.19</v>
      </c>
    </row>
    <row r="21" spans="1:7">
      <c r="A21" s="2" t="s">
        <v>23</v>
      </c>
      <c r="B21" s="2" t="s">
        <v>17</v>
      </c>
      <c r="C21" s="2" t="s">
        <v>33</v>
      </c>
      <c r="D21" s="4" t="s">
        <v>10</v>
      </c>
      <c r="E21" s="21">
        <v>0.51108687749909121</v>
      </c>
      <c r="F21" s="14">
        <v>13.189247945583844</v>
      </c>
      <c r="G21" s="5">
        <v>6.24</v>
      </c>
    </row>
    <row r="22" spans="1:7">
      <c r="A22" s="2" t="s">
        <v>34</v>
      </c>
      <c r="B22" s="2" t="s">
        <v>8</v>
      </c>
      <c r="C22" s="2" t="s">
        <v>35</v>
      </c>
      <c r="D22" s="4" t="s">
        <v>10</v>
      </c>
      <c r="E22" s="6">
        <v>0.98771355870592514</v>
      </c>
      <c r="F22" s="14">
        <v>3.8735708270393241</v>
      </c>
      <c r="G22" s="18">
        <v>5.96</v>
      </c>
    </row>
    <row r="23" spans="1:7">
      <c r="A23" s="2" t="s">
        <v>34</v>
      </c>
      <c r="B23" s="2" t="s">
        <v>8</v>
      </c>
      <c r="C23" s="2" t="s">
        <v>37</v>
      </c>
      <c r="D23" s="4" t="s">
        <v>10</v>
      </c>
      <c r="E23" s="6">
        <v>0.76383133406034165</v>
      </c>
      <c r="F23" s="14">
        <v>8.256207931129719</v>
      </c>
      <c r="G23" s="18">
        <v>5.66</v>
      </c>
    </row>
    <row r="24" spans="1:7">
      <c r="A24" s="2" t="s">
        <v>34</v>
      </c>
      <c r="B24" s="2" t="s">
        <v>8</v>
      </c>
      <c r="C24" s="2" t="s">
        <v>38</v>
      </c>
      <c r="D24" s="4" t="s">
        <v>10</v>
      </c>
      <c r="E24" s="6">
        <v>0.97891675754271146</v>
      </c>
      <c r="F24" s="14">
        <v>4.6926086887819949</v>
      </c>
      <c r="G24" s="18">
        <v>5.91</v>
      </c>
    </row>
    <row r="25" spans="1:7">
      <c r="A25" s="2" t="s">
        <v>34</v>
      </c>
      <c r="B25" s="2" t="s">
        <v>8</v>
      </c>
      <c r="C25" s="2" t="s">
        <v>39</v>
      </c>
      <c r="D25" s="4" t="s">
        <v>10</v>
      </c>
      <c r="E25" s="6">
        <v>0.95136314067611782</v>
      </c>
      <c r="F25" s="14">
        <v>4.966587673493331</v>
      </c>
      <c r="G25" s="18">
        <v>5.81</v>
      </c>
    </row>
    <row r="26" spans="1:7">
      <c r="A26" s="2" t="s">
        <v>34</v>
      </c>
      <c r="B26" s="2" t="s">
        <v>8</v>
      </c>
      <c r="C26" s="2" t="s">
        <v>40</v>
      </c>
      <c r="D26" s="4" t="s">
        <v>10</v>
      </c>
      <c r="E26" s="6">
        <v>0.97353689567430013</v>
      </c>
      <c r="F26" s="14">
        <v>4.2114569693064876</v>
      </c>
      <c r="G26" s="18">
        <v>5.21</v>
      </c>
    </row>
    <row r="27" spans="1:7">
      <c r="A27" s="2" t="s">
        <v>34</v>
      </c>
      <c r="B27" s="2" t="s">
        <v>17</v>
      </c>
      <c r="C27" s="2" t="s">
        <v>36</v>
      </c>
      <c r="D27" s="4" t="s">
        <v>10</v>
      </c>
      <c r="E27" s="21">
        <v>0.57262813522355505</v>
      </c>
      <c r="F27" s="14">
        <v>9.9897394054319015</v>
      </c>
      <c r="G27" s="18">
        <v>6.55</v>
      </c>
    </row>
    <row r="28" spans="1:7">
      <c r="A28" s="2" t="s">
        <v>34</v>
      </c>
      <c r="B28" s="2" t="s">
        <v>17</v>
      </c>
      <c r="C28" s="2" t="s">
        <v>41</v>
      </c>
      <c r="D28" s="4" t="s">
        <v>10</v>
      </c>
      <c r="E28" s="21">
        <v>0.53267902580879678</v>
      </c>
      <c r="F28" s="14">
        <v>12.413302473968098</v>
      </c>
      <c r="G28" s="18">
        <v>6.09</v>
      </c>
    </row>
    <row r="29" spans="1:7">
      <c r="A29" s="2" t="s">
        <v>34</v>
      </c>
      <c r="B29" s="2" t="s">
        <v>17</v>
      </c>
      <c r="C29" s="2" t="s">
        <v>42</v>
      </c>
      <c r="D29" s="4" t="s">
        <v>10</v>
      </c>
      <c r="E29" s="21">
        <v>0.68691384950926926</v>
      </c>
      <c r="F29" s="14">
        <v>6.0716520944109247</v>
      </c>
      <c r="G29" s="18">
        <v>6.33</v>
      </c>
    </row>
    <row r="30" spans="1:7">
      <c r="A30" s="2" t="s">
        <v>34</v>
      </c>
      <c r="B30" s="2" t="s">
        <v>17</v>
      </c>
      <c r="C30" s="2" t="s">
        <v>43</v>
      </c>
      <c r="D30" s="4" t="s">
        <v>10</v>
      </c>
      <c r="E30" s="21">
        <v>0.6299163940385315</v>
      </c>
      <c r="F30" s="14">
        <v>7.946862389338011</v>
      </c>
      <c r="G30" s="18">
        <v>6.27</v>
      </c>
    </row>
    <row r="31" spans="1:7">
      <c r="A31" s="2" t="s">
        <v>34</v>
      </c>
      <c r="B31" s="2" t="s">
        <v>17</v>
      </c>
      <c r="C31" s="2" t="s">
        <v>44</v>
      </c>
      <c r="D31" s="4" t="s">
        <v>10</v>
      </c>
      <c r="E31" s="21">
        <v>0.55281715739730997</v>
      </c>
      <c r="F31" s="14">
        <v>7.4580602894706187</v>
      </c>
      <c r="G31" s="18">
        <v>6.17</v>
      </c>
    </row>
    <row r="32" spans="1:7">
      <c r="A32" s="2" t="s">
        <v>7</v>
      </c>
      <c r="B32" s="2" t="s">
        <v>8</v>
      </c>
      <c r="C32" s="2" t="s">
        <v>9</v>
      </c>
      <c r="D32" s="4" t="s">
        <v>16</v>
      </c>
      <c r="E32" s="2">
        <v>0.71875681570338057</v>
      </c>
      <c r="F32" s="14">
        <v>3.4664519310917212</v>
      </c>
      <c r="G32" s="20">
        <v>5.57</v>
      </c>
    </row>
    <row r="33" spans="1:7">
      <c r="A33" s="2" t="s">
        <v>7</v>
      </c>
      <c r="B33" s="2" t="s">
        <v>8</v>
      </c>
      <c r="C33" s="2" t="s">
        <v>11</v>
      </c>
      <c r="D33" s="4" t="s">
        <v>16</v>
      </c>
      <c r="E33" s="2">
        <v>1.1144674663758634</v>
      </c>
      <c r="F33" s="14">
        <v>2.8786927668559312</v>
      </c>
      <c r="G33" s="20">
        <v>5.36</v>
      </c>
    </row>
    <row r="34" spans="1:7">
      <c r="A34" s="2" t="s">
        <v>7</v>
      </c>
      <c r="B34" s="2" t="s">
        <v>8</v>
      </c>
      <c r="C34" s="2" t="s">
        <v>12</v>
      </c>
      <c r="D34" s="4" t="s">
        <v>16</v>
      </c>
      <c r="E34" s="2">
        <v>0.79091239549254799</v>
      </c>
      <c r="F34" s="14">
        <v>2.1719381024391882</v>
      </c>
      <c r="G34" s="20">
        <v>5.23</v>
      </c>
    </row>
    <row r="35" spans="1:7">
      <c r="A35" s="2" t="s">
        <v>7</v>
      </c>
      <c r="B35" s="2" t="s">
        <v>8</v>
      </c>
      <c r="C35" s="2" t="s">
        <v>13</v>
      </c>
      <c r="D35" s="4" t="s">
        <v>16</v>
      </c>
      <c r="E35" s="2">
        <v>1.0427844420210832</v>
      </c>
      <c r="F35" s="14">
        <v>3.3294392818404552</v>
      </c>
      <c r="G35" s="20">
        <v>5.75</v>
      </c>
    </row>
    <row r="36" spans="1:7">
      <c r="A36" s="2" t="s">
        <v>7</v>
      </c>
      <c r="B36" s="2" t="s">
        <v>8</v>
      </c>
      <c r="C36" s="2" t="s">
        <v>14</v>
      </c>
      <c r="D36" s="4" t="s">
        <v>16</v>
      </c>
      <c r="E36" s="2">
        <v>1.0016357688113411</v>
      </c>
      <c r="F36" s="14">
        <v>2.8295130875642212</v>
      </c>
      <c r="G36" s="20">
        <v>5.49</v>
      </c>
    </row>
    <row r="37" spans="1:7">
      <c r="A37" s="2" t="s">
        <v>7</v>
      </c>
      <c r="B37" s="2" t="s">
        <v>17</v>
      </c>
      <c r="C37" s="2" t="s">
        <v>18</v>
      </c>
      <c r="D37" s="4" t="s">
        <v>16</v>
      </c>
      <c r="E37" s="2">
        <v>0.78371501272264621</v>
      </c>
      <c r="F37" s="14">
        <v>3.807256434234763</v>
      </c>
      <c r="G37" s="5">
        <v>5.63</v>
      </c>
    </row>
    <row r="38" spans="1:7">
      <c r="A38" s="2" t="s">
        <v>7</v>
      </c>
      <c r="B38" s="2" t="s">
        <v>17</v>
      </c>
      <c r="C38" s="2" t="s">
        <v>19</v>
      </c>
      <c r="D38" s="4" t="s">
        <v>16</v>
      </c>
      <c r="E38" s="2">
        <v>0.95732460923300611</v>
      </c>
      <c r="F38" s="14">
        <v>4.2876032544266645</v>
      </c>
      <c r="G38" s="5">
        <v>6.01</v>
      </c>
    </row>
    <row r="39" spans="1:7">
      <c r="A39" s="2" t="s">
        <v>7</v>
      </c>
      <c r="B39" s="2" t="s">
        <v>17</v>
      </c>
      <c r="C39" s="2" t="s">
        <v>20</v>
      </c>
      <c r="D39" s="4" t="s">
        <v>16</v>
      </c>
      <c r="E39" s="2">
        <v>0.73318793166121399</v>
      </c>
      <c r="F39" s="14">
        <v>3.6809779959306477</v>
      </c>
      <c r="G39" s="5">
        <v>5.81</v>
      </c>
    </row>
    <row r="40" spans="1:7">
      <c r="A40" s="2" t="s">
        <v>7</v>
      </c>
      <c r="B40" s="2" t="s">
        <v>17</v>
      </c>
      <c r="C40" s="2" t="s">
        <v>21</v>
      </c>
      <c r="D40" s="4" t="s">
        <v>16</v>
      </c>
      <c r="E40" s="2">
        <v>1.0267175572519085</v>
      </c>
      <c r="F40" s="14">
        <v>4.2609559218793027</v>
      </c>
      <c r="G40" s="5">
        <v>6.06</v>
      </c>
    </row>
    <row r="41" spans="1:7">
      <c r="A41" s="2" t="s">
        <v>7</v>
      </c>
      <c r="B41" s="2" t="s">
        <v>17</v>
      </c>
      <c r="C41" s="2" t="s">
        <v>22</v>
      </c>
      <c r="D41" s="4" t="s">
        <v>16</v>
      </c>
      <c r="E41" s="2">
        <v>0.89676481279534703</v>
      </c>
      <c r="F41" s="14">
        <v>3.9728861518665335</v>
      </c>
      <c r="G41" s="5">
        <v>5.88</v>
      </c>
    </row>
    <row r="42" spans="1:7">
      <c r="A42" s="2" t="s">
        <v>23</v>
      </c>
      <c r="B42" s="2" t="s">
        <v>8</v>
      </c>
      <c r="C42" s="2" t="s">
        <v>24</v>
      </c>
      <c r="D42" s="4" t="s">
        <v>16</v>
      </c>
      <c r="E42" s="2">
        <v>1.0492911668484186</v>
      </c>
      <c r="F42" s="14">
        <v>3.0758704748158889</v>
      </c>
      <c r="G42" s="20">
        <v>5.33</v>
      </c>
    </row>
    <row r="43" spans="1:7">
      <c r="A43" s="2" t="s">
        <v>23</v>
      </c>
      <c r="B43" s="2" t="s">
        <v>8</v>
      </c>
      <c r="C43" s="2" t="s">
        <v>26</v>
      </c>
      <c r="D43" s="4" t="s">
        <v>16</v>
      </c>
      <c r="E43" s="2">
        <v>0.9053435114503815</v>
      </c>
      <c r="F43" s="14">
        <v>5.4408891920375755</v>
      </c>
      <c r="G43" s="20">
        <v>5.22</v>
      </c>
    </row>
    <row r="44" spans="1:7">
      <c r="A44" s="2" t="s">
        <v>23</v>
      </c>
      <c r="B44" s="2" t="s">
        <v>8</v>
      </c>
      <c r="C44" s="2" t="s">
        <v>28</v>
      </c>
      <c r="D44" s="4" t="s">
        <v>16</v>
      </c>
      <c r="E44" s="2">
        <v>1.0309705561613958</v>
      </c>
      <c r="F44" s="14">
        <v>3.0469778855088574</v>
      </c>
      <c r="G44" s="20">
        <v>5.0599999999999996</v>
      </c>
    </row>
    <row r="45" spans="1:7">
      <c r="A45" s="2" t="s">
        <v>23</v>
      </c>
      <c r="B45" s="2" t="s">
        <v>8</v>
      </c>
      <c r="C45" s="2" t="s">
        <v>29</v>
      </c>
      <c r="D45" s="4" t="s">
        <v>16</v>
      </c>
      <c r="E45" s="2">
        <v>0.9911668484187568</v>
      </c>
      <c r="F45" s="14">
        <v>3.5673807214739495</v>
      </c>
      <c r="G45" s="20">
        <v>5.39</v>
      </c>
    </row>
    <row r="46" spans="1:7">
      <c r="A46" s="2" t="s">
        <v>23</v>
      </c>
      <c r="B46" s="2" t="s">
        <v>8</v>
      </c>
      <c r="C46" s="2" t="s">
        <v>30</v>
      </c>
      <c r="D46" s="4" t="s">
        <v>16</v>
      </c>
      <c r="E46" s="2">
        <v>1.0350054525627044</v>
      </c>
      <c r="F46" s="14">
        <v>2.7716547735984842</v>
      </c>
      <c r="G46" s="20">
        <v>5.47</v>
      </c>
    </row>
    <row r="47" spans="1:7">
      <c r="A47" s="2" t="s">
        <v>23</v>
      </c>
      <c r="B47" s="2" t="s">
        <v>17</v>
      </c>
      <c r="C47" s="2" t="s">
        <v>25</v>
      </c>
      <c r="D47" s="4" t="s">
        <v>16</v>
      </c>
      <c r="E47" s="2">
        <v>0.81003271537622679</v>
      </c>
      <c r="F47" s="14">
        <v>2.6900897759284654</v>
      </c>
      <c r="G47" s="5">
        <v>5.58</v>
      </c>
    </row>
    <row r="48" spans="1:7">
      <c r="A48" s="2" t="s">
        <v>23</v>
      </c>
      <c r="B48" s="2" t="s">
        <v>17</v>
      </c>
      <c r="C48" s="2" t="s">
        <v>27</v>
      </c>
      <c r="D48" s="4" t="s">
        <v>16</v>
      </c>
      <c r="E48" s="2">
        <v>0.71952017448200645</v>
      </c>
      <c r="F48" s="14">
        <v>5.3892983058806001</v>
      </c>
      <c r="G48" s="5">
        <v>5.96</v>
      </c>
    </row>
    <row r="49" spans="1:7">
      <c r="A49" s="2" t="s">
        <v>23</v>
      </c>
      <c r="B49" s="2" t="s">
        <v>17</v>
      </c>
      <c r="C49" s="2" t="s">
        <v>31</v>
      </c>
      <c r="D49" s="4" t="s">
        <v>16</v>
      </c>
      <c r="E49" s="2">
        <v>1.0116321337695382</v>
      </c>
      <c r="F49" s="14">
        <v>2.0056164023710603</v>
      </c>
      <c r="G49" s="5">
        <v>4.26</v>
      </c>
    </row>
    <row r="50" spans="1:7">
      <c r="A50" s="2" t="s">
        <v>23</v>
      </c>
      <c r="B50" s="2" t="s">
        <v>17</v>
      </c>
      <c r="C50" s="2" t="s">
        <v>32</v>
      </c>
      <c r="D50" s="4" t="s">
        <v>16</v>
      </c>
      <c r="E50" s="2">
        <v>0.94638313340603419</v>
      </c>
      <c r="F50" s="14">
        <v>2.4029354319056631</v>
      </c>
      <c r="G50" s="5">
        <v>5.59</v>
      </c>
    </row>
    <row r="51" spans="1:7">
      <c r="A51" s="2" t="s">
        <v>23</v>
      </c>
      <c r="B51" s="2" t="s">
        <v>17</v>
      </c>
      <c r="C51" s="2" t="s">
        <v>33</v>
      </c>
      <c r="D51" s="4" t="s">
        <v>16</v>
      </c>
      <c r="E51" s="2">
        <v>0.85212649945474372</v>
      </c>
      <c r="F51" s="14">
        <v>5.1867263568962585</v>
      </c>
      <c r="G51" s="5">
        <v>5.6</v>
      </c>
    </row>
    <row r="52" spans="1:7">
      <c r="A52" s="2" t="s">
        <v>34</v>
      </c>
      <c r="B52" s="2" t="s">
        <v>8</v>
      </c>
      <c r="C52" s="2" t="s">
        <v>35</v>
      </c>
      <c r="D52" s="4" t="s">
        <v>16</v>
      </c>
      <c r="E52" s="6">
        <v>0.95670665212649941</v>
      </c>
      <c r="F52" s="14">
        <v>2.48408642527547</v>
      </c>
      <c r="G52" s="18">
        <v>5.65</v>
      </c>
    </row>
    <row r="53" spans="1:7">
      <c r="A53" s="2" t="s">
        <v>34</v>
      </c>
      <c r="B53" s="2" t="s">
        <v>8</v>
      </c>
      <c r="C53" s="2" t="s">
        <v>37</v>
      </c>
      <c r="D53" s="4" t="s">
        <v>16</v>
      </c>
      <c r="E53" s="6">
        <v>0.78993093420574323</v>
      </c>
      <c r="F53" s="14">
        <v>6.0224009345068987</v>
      </c>
      <c r="G53" s="18">
        <v>5.64</v>
      </c>
    </row>
    <row r="54" spans="1:7">
      <c r="A54" s="2" t="s">
        <v>34</v>
      </c>
      <c r="B54" s="2" t="s">
        <v>8</v>
      </c>
      <c r="C54" s="2" t="s">
        <v>38</v>
      </c>
      <c r="D54" s="4" t="s">
        <v>16</v>
      </c>
      <c r="E54" s="6">
        <v>1.0948018902217376</v>
      </c>
      <c r="F54" s="14">
        <v>2.6260019906349026</v>
      </c>
      <c r="G54" s="18">
        <v>5.65</v>
      </c>
    </row>
    <row r="55" spans="1:7">
      <c r="A55" s="2" t="s">
        <v>34</v>
      </c>
      <c r="B55" s="2" t="s">
        <v>8</v>
      </c>
      <c r="C55" s="2" t="s">
        <v>39</v>
      </c>
      <c r="D55" s="4" t="s">
        <v>16</v>
      </c>
      <c r="E55" s="6">
        <v>1.1054889131225007</v>
      </c>
      <c r="F55" s="14">
        <v>1.8203433997340972</v>
      </c>
      <c r="G55" s="18">
        <v>5.69</v>
      </c>
    </row>
    <row r="56" spans="1:7">
      <c r="A56" s="2" t="s">
        <v>34</v>
      </c>
      <c r="B56" s="2" t="s">
        <v>8</v>
      </c>
      <c r="C56" s="2" t="s">
        <v>40</v>
      </c>
      <c r="D56" s="4" t="s">
        <v>16</v>
      </c>
      <c r="E56" s="6">
        <v>1.1062886223191566</v>
      </c>
      <c r="F56" s="14">
        <v>1.0334470433835006</v>
      </c>
      <c r="G56" s="18">
        <v>4.95</v>
      </c>
    </row>
    <row r="57" spans="1:7">
      <c r="A57" s="2" t="s">
        <v>34</v>
      </c>
      <c r="B57" s="2" t="s">
        <v>17</v>
      </c>
      <c r="C57" s="2" t="s">
        <v>36</v>
      </c>
      <c r="D57" s="4" t="s">
        <v>16</v>
      </c>
      <c r="E57" s="2">
        <v>0.8050890585241729</v>
      </c>
      <c r="F57" s="14">
        <v>4.044966314937489</v>
      </c>
      <c r="G57" s="18">
        <v>6.19</v>
      </c>
    </row>
    <row r="58" spans="1:7">
      <c r="A58" s="2" t="s">
        <v>34</v>
      </c>
      <c r="B58" s="2" t="s">
        <v>17</v>
      </c>
      <c r="C58" s="2" t="s">
        <v>41</v>
      </c>
      <c r="D58" s="4" t="s">
        <v>16</v>
      </c>
      <c r="E58" s="2">
        <v>0.75761541257724463</v>
      </c>
      <c r="F58" s="14">
        <v>3.8956983843681776</v>
      </c>
      <c r="G58" s="18">
        <v>5.51</v>
      </c>
    </row>
    <row r="59" spans="1:7">
      <c r="A59" s="2" t="s">
        <v>34</v>
      </c>
      <c r="B59" s="2" t="s">
        <v>17</v>
      </c>
      <c r="C59" s="2" t="s">
        <v>42</v>
      </c>
      <c r="D59" s="4" t="s">
        <v>16</v>
      </c>
      <c r="E59" s="2">
        <v>1.0990912395492547</v>
      </c>
      <c r="F59" s="14">
        <v>1.6984123699691911</v>
      </c>
      <c r="G59" s="18">
        <v>5.76</v>
      </c>
    </row>
    <row r="60" spans="1:7">
      <c r="A60" s="2" t="s">
        <v>34</v>
      </c>
      <c r="B60" s="2" t="s">
        <v>17</v>
      </c>
      <c r="C60" s="2" t="s">
        <v>43</v>
      </c>
      <c r="D60" s="4" t="s">
        <v>16</v>
      </c>
      <c r="E60" s="2">
        <v>0.96241366775717929</v>
      </c>
      <c r="F60" s="14">
        <v>2.3691545019772806</v>
      </c>
      <c r="G60" s="18">
        <v>5.8</v>
      </c>
    </row>
    <row r="61" spans="1:7" ht="14.65" thickBot="1">
      <c r="A61" s="2" t="s">
        <v>34</v>
      </c>
      <c r="B61" s="2" t="s">
        <v>17</v>
      </c>
      <c r="C61" s="2" t="s">
        <v>44</v>
      </c>
      <c r="D61" s="4" t="s">
        <v>16</v>
      </c>
      <c r="E61" s="2">
        <v>0.80090876045074522</v>
      </c>
      <c r="F61" s="14">
        <v>3.0807992801586428</v>
      </c>
      <c r="G61" s="18">
        <v>4.7</v>
      </c>
    </row>
    <row r="62" spans="1:7" ht="14.65" thickBot="1">
      <c r="A62" s="2" t="s">
        <v>7</v>
      </c>
      <c r="B62" s="2" t="s">
        <v>8</v>
      </c>
      <c r="C62" s="2" t="s">
        <v>9</v>
      </c>
      <c r="D62" s="4" t="s">
        <v>15</v>
      </c>
      <c r="E62" s="2">
        <v>0.80588876772082874</v>
      </c>
      <c r="F62" s="14">
        <v>4.1910735355738389</v>
      </c>
      <c r="G62" s="19">
        <v>5.77</v>
      </c>
    </row>
    <row r="63" spans="1:7" ht="14.65" thickBot="1">
      <c r="A63" s="2" t="s">
        <v>7</v>
      </c>
      <c r="B63" s="2" t="s">
        <v>8</v>
      </c>
      <c r="C63" s="2" t="s">
        <v>11</v>
      </c>
      <c r="D63" s="4" t="s">
        <v>15</v>
      </c>
      <c r="E63" s="2">
        <v>1.0516175936023264</v>
      </c>
      <c r="F63" s="14">
        <v>3.6007527651958404</v>
      </c>
      <c r="G63" s="19">
        <v>5.37</v>
      </c>
    </row>
    <row r="64" spans="1:7" ht="14.65" thickBot="1">
      <c r="A64" s="2" t="s">
        <v>7</v>
      </c>
      <c r="B64" s="2" t="s">
        <v>8</v>
      </c>
      <c r="C64" s="2" t="s">
        <v>12</v>
      </c>
      <c r="D64" s="4" t="s">
        <v>15</v>
      </c>
      <c r="E64" s="2">
        <v>0.7689930934205742</v>
      </c>
      <c r="F64" s="14">
        <v>3.0679113463869059</v>
      </c>
      <c r="G64" s="19">
        <v>5.23</v>
      </c>
    </row>
    <row r="65" spans="1:7" ht="14.65" thickBot="1">
      <c r="A65" s="2" t="s">
        <v>7</v>
      </c>
      <c r="B65" s="2" t="s">
        <v>8</v>
      </c>
      <c r="C65" s="2" t="s">
        <v>13</v>
      </c>
      <c r="D65" s="4" t="s">
        <v>15</v>
      </c>
      <c r="E65" s="2">
        <v>0.98585968738640495</v>
      </c>
      <c r="F65" s="14">
        <v>3.955242867637907</v>
      </c>
      <c r="G65" s="19">
        <v>5.65</v>
      </c>
    </row>
    <row r="66" spans="1:7" ht="14.65" thickBot="1">
      <c r="A66" s="2" t="s">
        <v>7</v>
      </c>
      <c r="B66" s="2" t="s">
        <v>8</v>
      </c>
      <c r="C66" s="2" t="s">
        <v>14</v>
      </c>
      <c r="D66" s="4" t="s">
        <v>15</v>
      </c>
      <c r="E66" s="2">
        <v>0.91882951653944012</v>
      </c>
      <c r="F66" s="14">
        <v>3.3542066246984032</v>
      </c>
      <c r="G66" s="19">
        <v>5.62</v>
      </c>
    </row>
    <row r="67" spans="1:7" ht="14.65" thickBot="1">
      <c r="A67" s="2" t="s">
        <v>7</v>
      </c>
      <c r="B67" s="2" t="s">
        <v>17</v>
      </c>
      <c r="C67" s="2" t="s">
        <v>18</v>
      </c>
      <c r="D67" s="4" t="s">
        <v>15</v>
      </c>
      <c r="E67" s="2">
        <v>0.87869865503453293</v>
      </c>
      <c r="F67" s="14">
        <v>5.5823719908319713</v>
      </c>
      <c r="G67" s="19">
        <v>5.81</v>
      </c>
    </row>
    <row r="68" spans="1:7" ht="14.65" thickBot="1">
      <c r="A68" s="2" t="s">
        <v>7</v>
      </c>
      <c r="B68" s="2" t="s">
        <v>17</v>
      </c>
      <c r="C68" s="2" t="s">
        <v>19</v>
      </c>
      <c r="D68" s="4" t="s">
        <v>15</v>
      </c>
      <c r="E68" s="2">
        <v>0.89454743729552888</v>
      </c>
      <c r="F68" s="14">
        <v>6.3499672877018387</v>
      </c>
      <c r="G68" s="19">
        <v>6.11</v>
      </c>
    </row>
    <row r="69" spans="1:7" ht="14.65" thickBot="1">
      <c r="A69" s="2" t="s">
        <v>7</v>
      </c>
      <c r="B69" s="2" t="s">
        <v>17</v>
      </c>
      <c r="C69" s="2" t="s">
        <v>20</v>
      </c>
      <c r="D69" s="4" t="s">
        <v>15</v>
      </c>
      <c r="E69" s="2">
        <v>0.66590330788804064</v>
      </c>
      <c r="F69" s="14">
        <v>6.2126510107529844</v>
      </c>
      <c r="G69" s="19">
        <v>6.02</v>
      </c>
    </row>
    <row r="70" spans="1:7" ht="14.65" thickBot="1">
      <c r="A70" s="2" t="s">
        <v>7</v>
      </c>
      <c r="B70" s="2" t="s">
        <v>17</v>
      </c>
      <c r="C70" s="2" t="s">
        <v>21</v>
      </c>
      <c r="D70" s="4" t="s">
        <v>15</v>
      </c>
      <c r="E70" s="2">
        <v>0.84660123591421299</v>
      </c>
      <c r="F70" s="14">
        <v>7.1785414591409795</v>
      </c>
      <c r="G70" s="19">
        <v>6.11</v>
      </c>
    </row>
    <row r="71" spans="1:7" ht="14.65" thickBot="1">
      <c r="A71" s="2" t="s">
        <v>7</v>
      </c>
      <c r="B71" s="2" t="s">
        <v>17</v>
      </c>
      <c r="C71" s="2" t="s">
        <v>22</v>
      </c>
      <c r="D71" s="4" t="s">
        <v>15</v>
      </c>
      <c r="E71" s="2">
        <v>0.85685205379861862</v>
      </c>
      <c r="F71" s="14">
        <v>6.6136633597327847</v>
      </c>
      <c r="G71" s="19">
        <v>5.93</v>
      </c>
    </row>
    <row r="72" spans="1:7" ht="14.65" thickBot="1">
      <c r="A72" s="2" t="s">
        <v>23</v>
      </c>
      <c r="B72" s="2" t="s">
        <v>8</v>
      </c>
      <c r="C72" s="2" t="s">
        <v>24</v>
      </c>
      <c r="D72" s="4" t="s">
        <v>15</v>
      </c>
      <c r="E72" s="2">
        <v>0.96608505997818983</v>
      </c>
      <c r="F72" s="14">
        <v>4.5962925740779133</v>
      </c>
      <c r="G72" s="19">
        <v>5.61</v>
      </c>
    </row>
    <row r="73" spans="1:7" ht="14.65" thickBot="1">
      <c r="A73" s="2" t="s">
        <v>23</v>
      </c>
      <c r="B73" s="2" t="s">
        <v>8</v>
      </c>
      <c r="C73" s="2" t="s">
        <v>26</v>
      </c>
      <c r="D73" s="4" t="s">
        <v>15</v>
      </c>
      <c r="E73" s="2">
        <v>0.81377680843329692</v>
      </c>
      <c r="F73" s="14">
        <v>5.7091074849817476</v>
      </c>
      <c r="G73" s="19">
        <v>5.19</v>
      </c>
    </row>
    <row r="74" spans="1:7" ht="14.65" thickBot="1">
      <c r="A74" s="2" t="s">
        <v>23</v>
      </c>
      <c r="B74" s="2" t="s">
        <v>8</v>
      </c>
      <c r="C74" s="2" t="s">
        <v>28</v>
      </c>
      <c r="D74" s="4" t="s">
        <v>15</v>
      </c>
      <c r="E74" s="2">
        <v>0.98974918211559437</v>
      </c>
      <c r="F74" s="14">
        <v>4.7630901294597585</v>
      </c>
      <c r="G74" s="19">
        <v>5.32</v>
      </c>
    </row>
    <row r="75" spans="1:7" ht="14.65" thickBot="1">
      <c r="A75" s="2" t="s">
        <v>23</v>
      </c>
      <c r="B75" s="2" t="s">
        <v>8</v>
      </c>
      <c r="C75" s="2" t="s">
        <v>29</v>
      </c>
      <c r="D75" s="4" t="s">
        <v>15</v>
      </c>
      <c r="E75" s="2">
        <v>0.88894947291893867</v>
      </c>
      <c r="F75" s="14">
        <v>5.4663735688937374</v>
      </c>
      <c r="G75" s="19">
        <v>5.49</v>
      </c>
    </row>
    <row r="76" spans="1:7" ht="14.65" thickBot="1">
      <c r="A76" s="2" t="s">
        <v>23</v>
      </c>
      <c r="B76" s="2" t="s">
        <v>8</v>
      </c>
      <c r="C76" s="2" t="s">
        <v>30</v>
      </c>
      <c r="D76" s="4" t="s">
        <v>15</v>
      </c>
      <c r="E76" s="2">
        <v>0.91334060341693935</v>
      </c>
      <c r="F76" s="14">
        <v>5.2518898943789081</v>
      </c>
      <c r="G76" s="19">
        <v>5.7</v>
      </c>
    </row>
    <row r="77" spans="1:7" ht="14.65" thickBot="1">
      <c r="A77" s="2" t="s">
        <v>23</v>
      </c>
      <c r="B77" s="2" t="s">
        <v>17</v>
      </c>
      <c r="C77" s="2" t="s">
        <v>25</v>
      </c>
      <c r="D77" s="4" t="s">
        <v>15</v>
      </c>
      <c r="E77" s="2">
        <v>0.8327517266448563</v>
      </c>
      <c r="F77" s="14">
        <v>4.7875557695479012</v>
      </c>
      <c r="G77" s="19">
        <v>5.73</v>
      </c>
    </row>
    <row r="78" spans="1:7" ht="14.65" thickBot="1">
      <c r="A78" s="2" t="s">
        <v>23</v>
      </c>
      <c r="B78" s="2" t="s">
        <v>17</v>
      </c>
      <c r="C78" s="2" t="s">
        <v>27</v>
      </c>
      <c r="D78" s="4" t="s">
        <v>15</v>
      </c>
      <c r="E78" s="2">
        <v>0.5897128316975645</v>
      </c>
      <c r="F78" s="14">
        <v>6.3718938408563313</v>
      </c>
      <c r="G78" s="19">
        <v>6.14</v>
      </c>
    </row>
    <row r="79" spans="1:7" ht="14.65" thickBot="1">
      <c r="A79" s="2" t="s">
        <v>23</v>
      </c>
      <c r="B79" s="2" t="s">
        <v>17</v>
      </c>
      <c r="C79" s="2" t="s">
        <v>31</v>
      </c>
      <c r="D79" s="4" t="s">
        <v>15</v>
      </c>
      <c r="E79" s="2">
        <v>0.89581970192657223</v>
      </c>
      <c r="F79" s="14">
        <v>3.4220193785466426</v>
      </c>
      <c r="G79" s="19">
        <v>4.25</v>
      </c>
    </row>
    <row r="80" spans="1:7" ht="14.65" thickBot="1">
      <c r="A80" s="2" t="s">
        <v>23</v>
      </c>
      <c r="B80" s="2" t="s">
        <v>17</v>
      </c>
      <c r="C80" s="2" t="s">
        <v>32</v>
      </c>
      <c r="D80" s="4" t="s">
        <v>15</v>
      </c>
      <c r="E80" s="2">
        <v>0.76630316248636854</v>
      </c>
      <c r="F80" s="14">
        <v>5.0213532027783545</v>
      </c>
      <c r="G80" s="19">
        <v>5.82</v>
      </c>
    </row>
    <row r="81" spans="1:7" ht="14.65" thickBot="1">
      <c r="A81" s="2" t="s">
        <v>23</v>
      </c>
      <c r="B81" s="2" t="s">
        <v>17</v>
      </c>
      <c r="C81" s="2" t="s">
        <v>33</v>
      </c>
      <c r="D81" s="4" t="s">
        <v>15</v>
      </c>
      <c r="E81" s="2">
        <v>0.73409669211195916</v>
      </c>
      <c r="F81" s="14">
        <v>6.7255182575112862</v>
      </c>
      <c r="G81" s="19">
        <v>5.83</v>
      </c>
    </row>
    <row r="82" spans="1:7" ht="14.65" thickBot="1">
      <c r="A82" s="2" t="s">
        <v>34</v>
      </c>
      <c r="B82" s="2" t="s">
        <v>8</v>
      </c>
      <c r="C82" s="2" t="s">
        <v>35</v>
      </c>
      <c r="D82" s="4" t="s">
        <v>15</v>
      </c>
      <c r="E82" s="6">
        <v>0.94932751726644837</v>
      </c>
      <c r="F82" s="14">
        <v>3.9614272011080542</v>
      </c>
      <c r="G82" s="16">
        <v>5.94</v>
      </c>
    </row>
    <row r="83" spans="1:7" ht="14.65" thickBot="1">
      <c r="A83" s="2" t="s">
        <v>34</v>
      </c>
      <c r="B83" s="2" t="s">
        <v>8</v>
      </c>
      <c r="C83" s="2" t="s">
        <v>37</v>
      </c>
      <c r="D83" s="4" t="s">
        <v>15</v>
      </c>
      <c r="E83" s="6">
        <v>0.73635041802980727</v>
      </c>
      <c r="F83" s="14">
        <v>6.6653077806380914</v>
      </c>
      <c r="G83" s="16">
        <v>5.65</v>
      </c>
    </row>
    <row r="84" spans="1:7" ht="14.65" thickBot="1">
      <c r="A84" s="2" t="s">
        <v>34</v>
      </c>
      <c r="B84" s="2" t="s">
        <v>8</v>
      </c>
      <c r="C84" s="2" t="s">
        <v>38</v>
      </c>
      <c r="D84" s="4" t="s">
        <v>15</v>
      </c>
      <c r="E84" s="6">
        <v>1.0108687749909122</v>
      </c>
      <c r="F84" s="14">
        <v>4.130331566848823</v>
      </c>
      <c r="G84" s="16">
        <v>5.91</v>
      </c>
    </row>
    <row r="85" spans="1:7" ht="14.65" thickBot="1">
      <c r="A85" s="2" t="s">
        <v>34</v>
      </c>
      <c r="B85" s="2" t="s">
        <v>8</v>
      </c>
      <c r="C85" s="2" t="s">
        <v>39</v>
      </c>
      <c r="D85" s="4" t="s">
        <v>15</v>
      </c>
      <c r="E85" s="6">
        <v>1.0148673209741912</v>
      </c>
      <c r="F85" s="14">
        <v>4.2519400834540235</v>
      </c>
      <c r="G85" s="16">
        <v>5.85</v>
      </c>
    </row>
    <row r="86" spans="1:7" ht="14.65" thickBot="1">
      <c r="A86" s="2" t="s">
        <v>34</v>
      </c>
      <c r="B86" s="2" t="s">
        <v>8</v>
      </c>
      <c r="C86" s="2" t="s">
        <v>40</v>
      </c>
      <c r="D86" s="4" t="s">
        <v>15</v>
      </c>
      <c r="E86" s="6">
        <v>0.95852417302798976</v>
      </c>
      <c r="F86" s="14">
        <v>3.5767059824909619</v>
      </c>
      <c r="G86" s="16">
        <v>5.0599999999999996</v>
      </c>
    </row>
    <row r="87" spans="1:7" ht="14.65" thickBot="1">
      <c r="A87" s="2" t="s">
        <v>34</v>
      </c>
      <c r="B87" s="2" t="s">
        <v>17</v>
      </c>
      <c r="C87" s="2" t="s">
        <v>36</v>
      </c>
      <c r="D87" s="4" t="s">
        <v>15</v>
      </c>
      <c r="E87" s="2">
        <v>0.71559432933478728</v>
      </c>
      <c r="F87" s="14">
        <v>7.0629359212403164</v>
      </c>
      <c r="G87" s="16">
        <v>6.4</v>
      </c>
    </row>
    <row r="88" spans="1:7" ht="14.65" thickBot="1">
      <c r="A88" s="2" t="s">
        <v>34</v>
      </c>
      <c r="B88" s="2" t="s">
        <v>17</v>
      </c>
      <c r="C88" s="2" t="s">
        <v>41</v>
      </c>
      <c r="D88" s="4" t="s">
        <v>15</v>
      </c>
      <c r="E88" s="2">
        <v>0.79643765903307884</v>
      </c>
      <c r="F88" s="14">
        <v>5.198304835763552</v>
      </c>
      <c r="G88" s="16">
        <v>5.75</v>
      </c>
    </row>
    <row r="89" spans="1:7" ht="14.65" thickBot="1">
      <c r="A89" s="2" t="s">
        <v>34</v>
      </c>
      <c r="B89" s="2" t="s">
        <v>17</v>
      </c>
      <c r="C89" s="2" t="s">
        <v>42</v>
      </c>
      <c r="D89" s="4" t="s">
        <v>15</v>
      </c>
      <c r="E89" s="2">
        <v>1.0848055252635405</v>
      </c>
      <c r="F89" s="14">
        <v>3.0006866153950682</v>
      </c>
      <c r="G89" s="16">
        <v>5.79</v>
      </c>
    </row>
    <row r="90" spans="1:7" ht="14.65" thickBot="1">
      <c r="A90" s="2" t="s">
        <v>34</v>
      </c>
      <c r="B90" s="2" t="s">
        <v>17</v>
      </c>
      <c r="C90" s="2" t="s">
        <v>43</v>
      </c>
      <c r="D90" s="4" t="s">
        <v>15</v>
      </c>
      <c r="E90" s="2">
        <v>0.87895310796074144</v>
      </c>
      <c r="F90" s="14">
        <v>4.1495057294723718</v>
      </c>
      <c r="G90" s="16">
        <v>5.87</v>
      </c>
    </row>
    <row r="91" spans="1:7" ht="14.65" thickBot="1">
      <c r="A91" s="2" t="s">
        <v>34</v>
      </c>
      <c r="B91" s="2" t="s">
        <v>17</v>
      </c>
      <c r="C91" s="2" t="s">
        <v>44</v>
      </c>
      <c r="D91" s="4" t="s">
        <v>15</v>
      </c>
      <c r="E91" s="2">
        <v>0.76615776081424936</v>
      </c>
      <c r="F91" s="14">
        <v>3.7056133629585299</v>
      </c>
      <c r="G91" s="16">
        <v>4.59</v>
      </c>
    </row>
  </sheetData>
  <autoFilter ref="A1:G91" xr:uid="{1DD9B5B3-03C6-4FAB-8E0C-3F25B998B3B5}">
    <sortState xmlns:xlrd2="http://schemas.microsoft.com/office/spreadsheetml/2017/richdata2" ref="A2:G91">
      <sortCondition ref="D1:D91"/>
    </sortState>
  </autoFilter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3EB6-2BF0-43B7-83D5-61B257385238}">
  <dimension ref="A1:C10"/>
  <sheetViews>
    <sheetView workbookViewId="0">
      <selection activeCell="C24" sqref="C24"/>
    </sheetView>
  </sheetViews>
  <sheetFormatPr defaultRowHeight="14.25"/>
  <cols>
    <col min="1" max="1" width="12.3984375" customWidth="1"/>
    <col min="2" max="2" width="23.86328125" customWidth="1"/>
    <col min="3" max="3" width="36.86328125" customWidth="1"/>
  </cols>
  <sheetData>
    <row r="1" spans="1:3">
      <c r="A1" s="1" t="s">
        <v>0</v>
      </c>
      <c r="B1" s="1" t="s">
        <v>46</v>
      </c>
      <c r="C1" s="8" t="s">
        <v>45</v>
      </c>
    </row>
    <row r="2" spans="1:3">
      <c r="A2" s="1" t="s">
        <v>47</v>
      </c>
      <c r="B2" s="7">
        <f>AVERAGE(DataTAB!E2:E6)</f>
        <v>0.93631406761177749</v>
      </c>
      <c r="C2" s="7">
        <f>AVERAGE(DataTAB!E17:E21)</f>
        <v>0.51807342784442023</v>
      </c>
    </row>
    <row r="3" spans="1:3">
      <c r="A3" s="1" t="s">
        <v>47</v>
      </c>
      <c r="B3" s="7">
        <f>AVERAGE(DataTAB!E32:E36)</f>
        <v>0.93371137768084334</v>
      </c>
      <c r="C3" s="7">
        <f>AVERAGE(DataTAB!E47:E51)</f>
        <v>0.86793893129770994</v>
      </c>
    </row>
    <row r="4" spans="1:3">
      <c r="A4" s="1" t="s">
        <v>47</v>
      </c>
      <c r="B4" s="7">
        <f>AVERAGE(DataTAB!E62:E66)</f>
        <v>0.90623773173391498</v>
      </c>
      <c r="C4" s="7">
        <f>AVERAGE(DataTAB!E77:E81)</f>
        <v>0.76373682297346424</v>
      </c>
    </row>
    <row r="5" spans="1:3">
      <c r="A5" s="1" t="s">
        <v>48</v>
      </c>
      <c r="B5" s="7">
        <f>AVERAGE(DataTAB!E7:E11)</f>
        <v>0.7447400945110868</v>
      </c>
      <c r="C5" s="7">
        <f>AVERAGE(DataTAB!E22:E26)</f>
        <v>0.93107233733187922</v>
      </c>
    </row>
    <row r="6" spans="1:3">
      <c r="A6" s="1" t="s">
        <v>48</v>
      </c>
      <c r="B6" s="7">
        <f>AVERAGE(DataTAB!E37:E41)</f>
        <v>0.87954198473282419</v>
      </c>
      <c r="C6" s="7">
        <f>AVERAGE(DataTAB!E52:E56)</f>
        <v>1.0106434023991275</v>
      </c>
    </row>
    <row r="7" spans="1:3">
      <c r="A7" s="1" t="s">
        <v>48</v>
      </c>
      <c r="B7" s="7">
        <f>AVERAGE(DataTAB!E67:E71)</f>
        <v>0.82852053798618674</v>
      </c>
      <c r="C7" s="7">
        <f>AVERAGE(DataTAB!E82:E86)</f>
        <v>0.93398764085786978</v>
      </c>
    </row>
    <row r="8" spans="1:3">
      <c r="A8" s="1" t="s">
        <v>49</v>
      </c>
      <c r="B8" s="7">
        <f>AVERAGE(DataTAB!E12:E16)</f>
        <v>0.86346055979643754</v>
      </c>
      <c r="C8" s="7">
        <f>AVERAGE(DataTAB!E27:E31)</f>
        <v>0.59499091239549251</v>
      </c>
    </row>
    <row r="9" spans="1:3">
      <c r="A9" s="1" t="s">
        <v>49</v>
      </c>
      <c r="B9" s="7">
        <f>AVERAGE(DataTAB!E42:E46)</f>
        <v>1.0023555070883314</v>
      </c>
      <c r="C9" s="7">
        <f>AVERAGE(DataTAB!E57:E61)</f>
        <v>0.88502362777171939</v>
      </c>
    </row>
    <row r="10" spans="1:3">
      <c r="A10" s="1" t="s">
        <v>49</v>
      </c>
      <c r="B10" s="17">
        <f>AVERAGE(DataTAB!E72:E76)</f>
        <v>0.91438022537259178</v>
      </c>
      <c r="C10" s="7">
        <f>AVERAGE(DataTAB!E87:E91)</f>
        <v>0.84838967648127939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9BB1-372B-40D5-A726-31E139F80746}">
  <dimension ref="A1:G36"/>
  <sheetViews>
    <sheetView workbookViewId="0">
      <selection activeCell="F30" sqref="F30"/>
    </sheetView>
  </sheetViews>
  <sheetFormatPr defaultRowHeight="14.25"/>
  <cols>
    <col min="1" max="1" width="32.86328125" bestFit="1" customWidth="1"/>
  </cols>
  <sheetData>
    <row r="1" spans="1:4">
      <c r="A1" t="s">
        <v>50</v>
      </c>
    </row>
    <row r="3" spans="1:4">
      <c r="A3" t="s">
        <v>51</v>
      </c>
      <c r="B3" t="s">
        <v>46</v>
      </c>
      <c r="C3" t="s">
        <v>45</v>
      </c>
      <c r="D3" t="s">
        <v>52</v>
      </c>
    </row>
    <row r="4" spans="1:4" ht="14.65" thickBot="1">
      <c r="A4" s="9" t="s">
        <v>47</v>
      </c>
      <c r="B4" s="9"/>
      <c r="C4" s="9"/>
      <c r="D4" s="9"/>
    </row>
    <row r="5" spans="1:4">
      <c r="A5" t="s">
        <v>53</v>
      </c>
      <c r="B5">
        <v>3</v>
      </c>
      <c r="C5">
        <v>3</v>
      </c>
      <c r="D5">
        <v>6</v>
      </c>
    </row>
    <row r="6" spans="1:4">
      <c r="A6" t="s">
        <v>54</v>
      </c>
      <c r="B6">
        <v>2.7308469647400941</v>
      </c>
      <c r="C6">
        <v>1.8578044347509994</v>
      </c>
      <c r="D6">
        <v>4.5886513994910931</v>
      </c>
    </row>
    <row r="7" spans="1:4">
      <c r="A7" t="s">
        <v>55</v>
      </c>
      <c r="B7">
        <v>0.91028232158003142</v>
      </c>
      <c r="C7">
        <v>0.61926814491699977</v>
      </c>
      <c r="D7">
        <v>0.76477523324851548</v>
      </c>
    </row>
    <row r="8" spans="1:4">
      <c r="A8" t="s">
        <v>56</v>
      </c>
      <c r="B8">
        <v>1.6510769664715094E-3</v>
      </c>
      <c r="C8">
        <v>1.3286482458621962E-2</v>
      </c>
      <c r="D8">
        <v>3.1381799075696201E-2</v>
      </c>
    </row>
    <row r="10" spans="1:4" ht="14.65" thickBot="1">
      <c r="A10" s="9" t="s">
        <v>48</v>
      </c>
      <c r="B10" s="9"/>
      <c r="C10" s="9"/>
      <c r="D10" s="9"/>
    </row>
    <row r="11" spans="1:4">
      <c r="A11" t="s">
        <v>53</v>
      </c>
      <c r="B11">
        <v>3</v>
      </c>
      <c r="C11">
        <v>3</v>
      </c>
      <c r="D11">
        <v>6</v>
      </c>
    </row>
    <row r="12" spans="1:4">
      <c r="A12" t="s">
        <v>54</v>
      </c>
      <c r="B12">
        <v>2.7546055979643764</v>
      </c>
      <c r="C12">
        <v>2.4406470374409306</v>
      </c>
      <c r="D12">
        <v>5.1952526354053061</v>
      </c>
    </row>
    <row r="13" spans="1:4">
      <c r="A13" t="s">
        <v>55</v>
      </c>
      <c r="B13">
        <v>0.91820186598812548</v>
      </c>
      <c r="C13">
        <v>0.8135490124803102</v>
      </c>
      <c r="D13">
        <v>0.86587543923421773</v>
      </c>
    </row>
    <row r="14" spans="1:4">
      <c r="A14" t="s">
        <v>56</v>
      </c>
      <c r="B14">
        <v>2.0346806684266036E-4</v>
      </c>
      <c r="C14">
        <v>1.9596363337337388E-3</v>
      </c>
      <c r="D14">
        <v>4.1509076844290392E-3</v>
      </c>
    </row>
    <row r="16" spans="1:4" ht="14.65" thickBot="1">
      <c r="A16" s="9" t="s">
        <v>49</v>
      </c>
      <c r="B16" s="9"/>
      <c r="C16" s="9"/>
      <c r="D16" s="9"/>
    </row>
    <row r="17" spans="1:7">
      <c r="A17" t="s">
        <v>53</v>
      </c>
      <c r="B17">
        <v>3</v>
      </c>
      <c r="C17">
        <v>3</v>
      </c>
      <c r="D17">
        <v>6</v>
      </c>
    </row>
    <row r="18" spans="1:7">
      <c r="A18" t="s">
        <v>54</v>
      </c>
      <c r="B18">
        <v>2.821090512540894</v>
      </c>
      <c r="C18">
        <v>2.6325045438022534</v>
      </c>
      <c r="D18">
        <v>5.4535950563431479</v>
      </c>
    </row>
    <row r="19" spans="1:7">
      <c r="A19" t="s">
        <v>55</v>
      </c>
      <c r="B19">
        <v>0.94036350418029802</v>
      </c>
      <c r="C19">
        <v>0.8775015146007511</v>
      </c>
      <c r="D19">
        <v>0.90893250939052461</v>
      </c>
    </row>
    <row r="20" spans="1:7">
      <c r="A20" t="s">
        <v>56</v>
      </c>
      <c r="B20">
        <v>3.4748805662155637E-3</v>
      </c>
      <c r="C20">
        <v>7.6094352172169323E-5</v>
      </c>
      <c r="D20">
        <v>2.6058788875248117E-3</v>
      </c>
    </row>
    <row r="22" spans="1:7" ht="14.65" thickBot="1">
      <c r="A22" s="9" t="s">
        <v>52</v>
      </c>
      <c r="B22" s="9"/>
      <c r="C22" s="9"/>
      <c r="D22" s="9"/>
      <c r="E22" s="9"/>
    </row>
    <row r="23" spans="1:7">
      <c r="A23" t="s">
        <v>53</v>
      </c>
      <c r="B23">
        <v>9</v>
      </c>
      <c r="C23">
        <v>9</v>
      </c>
    </row>
    <row r="24" spans="1:7">
      <c r="A24" t="s">
        <v>54</v>
      </c>
      <c r="B24">
        <v>8.3065430752453651</v>
      </c>
      <c r="C24">
        <v>6.9309560159941839</v>
      </c>
    </row>
    <row r="25" spans="1:7">
      <c r="A25" t="s">
        <v>55</v>
      </c>
      <c r="B25">
        <v>0.9229492305828183</v>
      </c>
      <c r="C25">
        <v>0.77010622399935369</v>
      </c>
    </row>
    <row r="26" spans="1:7">
      <c r="A26" t="s">
        <v>56</v>
      </c>
      <c r="B26">
        <v>1.5146982670853236E-3</v>
      </c>
      <c r="C26">
        <v>1.7395484691987373E-2</v>
      </c>
    </row>
    <row r="29" spans="1:7" ht="14.65" thickBot="1">
      <c r="A29" t="s">
        <v>57</v>
      </c>
      <c r="F29" t="s">
        <v>69</v>
      </c>
    </row>
    <row r="30" spans="1:7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 t="s">
        <v>63</v>
      </c>
      <c r="G30" s="11" t="s">
        <v>64</v>
      </c>
    </row>
    <row r="31" spans="1:7">
      <c r="A31" t="s">
        <v>67</v>
      </c>
      <c r="B31">
        <v>6.5712966410959944E-2</v>
      </c>
      <c r="C31">
        <v>2</v>
      </c>
      <c r="D31">
        <v>3.2856483205479972E-2</v>
      </c>
      <c r="E31">
        <v>9.545920383175682</v>
      </c>
      <c r="F31" s="12">
        <v>3.30528465372938E-3</v>
      </c>
      <c r="G31">
        <v>3.8852938346523942</v>
      </c>
    </row>
    <row r="32" spans="1:7">
      <c r="A32" t="s">
        <v>66</v>
      </c>
      <c r="B32">
        <v>0.10512443097662857</v>
      </c>
      <c r="C32">
        <v>1</v>
      </c>
      <c r="D32">
        <v>0.10512443097662857</v>
      </c>
      <c r="E32">
        <v>30.542205084875707</v>
      </c>
      <c r="F32" s="12">
        <v>1.3059033990102736E-4</v>
      </c>
      <c r="G32">
        <v>4.7472253467225149</v>
      </c>
    </row>
    <row r="33" spans="1:7">
      <c r="A33" t="s">
        <v>68</v>
      </c>
      <c r="B33">
        <v>4.426521977350565E-2</v>
      </c>
      <c r="C33">
        <v>2</v>
      </c>
      <c r="D33">
        <v>2.2132609886752825E-2</v>
      </c>
      <c r="E33">
        <v>6.4302722397140695</v>
      </c>
      <c r="F33" s="12">
        <v>1.2648052511853735E-2</v>
      </c>
      <c r="G33">
        <v>3.8852938346523942</v>
      </c>
    </row>
    <row r="34" spans="1:7">
      <c r="A34" t="s">
        <v>65</v>
      </c>
      <c r="B34">
        <v>4.1303277488115152E-2</v>
      </c>
      <c r="C34">
        <v>12</v>
      </c>
      <c r="D34">
        <v>3.4419397906762625E-3</v>
      </c>
    </row>
    <row r="36" spans="1:7" ht="14.65" thickBot="1">
      <c r="A36" s="10" t="s">
        <v>52</v>
      </c>
      <c r="B36" s="10">
        <v>0.25640589464920932</v>
      </c>
      <c r="C36" s="10">
        <v>17</v>
      </c>
      <c r="D36" s="10"/>
      <c r="E36" s="10"/>
      <c r="F36" s="10"/>
      <c r="G3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F14A-C2D6-43AC-8FEB-66E0F05C56D3}">
  <dimension ref="A1:C10"/>
  <sheetViews>
    <sheetView workbookViewId="0">
      <selection activeCell="G16" sqref="G16"/>
    </sheetView>
  </sheetViews>
  <sheetFormatPr defaultRowHeight="14.25"/>
  <cols>
    <col min="1" max="1" width="12.3984375" customWidth="1"/>
    <col min="2" max="2" width="23.86328125" customWidth="1"/>
    <col min="3" max="3" width="36.86328125" customWidth="1"/>
  </cols>
  <sheetData>
    <row r="1" spans="1:3">
      <c r="A1" s="1" t="s">
        <v>0</v>
      </c>
      <c r="B1" s="1" t="s">
        <v>46</v>
      </c>
      <c r="C1" s="8" t="s">
        <v>45</v>
      </c>
    </row>
    <row r="2" spans="1:3">
      <c r="A2" s="1" t="s">
        <v>47</v>
      </c>
      <c r="B2" s="7">
        <f>AVERAGE(DataTAB!F2:F6)</f>
        <v>4.6385815506088619</v>
      </c>
      <c r="C2" s="7">
        <f>AVERAGE(DataTAB!F17:F21)</f>
        <v>9.4430354579854985</v>
      </c>
    </row>
    <row r="3" spans="1:3">
      <c r="A3" s="1" t="s">
        <v>47</v>
      </c>
      <c r="B3" s="7">
        <f>AVERAGE(DataTAB!F32:F36)</f>
        <v>2.9352070339583038</v>
      </c>
      <c r="C3" s="7">
        <f>AVERAGE(DataTAB!F47:F51)</f>
        <v>3.5349332545964094</v>
      </c>
    </row>
    <row r="4" spans="1:3">
      <c r="A4" s="1" t="s">
        <v>47</v>
      </c>
      <c r="B4" s="7">
        <f>AVERAGE(DataTAB!F62:F66)</f>
        <v>3.633837427898579</v>
      </c>
      <c r="C4" s="7">
        <f>AVERAGE(DataTAB!F77:F81)</f>
        <v>5.265668089848103</v>
      </c>
    </row>
    <row r="5" spans="1:3">
      <c r="A5" s="1" t="s">
        <v>48</v>
      </c>
      <c r="B5" s="17">
        <f>AVERAGE(DataTAB!F7:F11)</f>
        <v>8.1289823469933431</v>
      </c>
      <c r="C5" s="7">
        <f>AVERAGE(DataTAB!F22:F26)</f>
        <v>5.200086417950172</v>
      </c>
    </row>
    <row r="6" spans="1:3">
      <c r="A6" s="1" t="s">
        <v>48</v>
      </c>
      <c r="B6" s="7">
        <f>AVERAGE(DataTAB!F37:F41)</f>
        <v>4.0019359516675816</v>
      </c>
      <c r="C6" s="7">
        <f>AVERAGE(DataTAB!F52:F56)</f>
        <v>2.7972559587069741</v>
      </c>
    </row>
    <row r="7" spans="1:3">
      <c r="A7" s="1" t="s">
        <v>48</v>
      </c>
      <c r="B7" s="7">
        <f>AVERAGE(DataTAB!F67:F71)</f>
        <v>6.3874390216321117</v>
      </c>
      <c r="C7" s="7">
        <f>AVERAGE(DataTAB!F82:F86)</f>
        <v>4.5171425229079913</v>
      </c>
    </row>
    <row r="8" spans="1:3">
      <c r="A8" s="1" t="s">
        <v>49</v>
      </c>
      <c r="B8" s="7">
        <f>AVERAGE(DataTAB!F12:F16)</f>
        <v>6.1495670414001875</v>
      </c>
      <c r="C8" s="7">
        <f>AVERAGE(DataTAB!F27:F31)</f>
        <v>8.775923330523911</v>
      </c>
    </row>
    <row r="9" spans="1:3">
      <c r="A9" s="1" t="s">
        <v>49</v>
      </c>
      <c r="B9" s="7">
        <f>AVERAGE(DataTAB!F42:F46)</f>
        <v>3.5805546094869505</v>
      </c>
      <c r="C9" s="7">
        <f>AVERAGE(DataTAB!F57:F61)</f>
        <v>3.0178061702821566</v>
      </c>
    </row>
    <row r="10" spans="1:3">
      <c r="A10" s="1" t="s">
        <v>49</v>
      </c>
      <c r="B10" s="7">
        <f>AVERAGE(DataTAB!F72:F76)</f>
        <v>5.157350730358413</v>
      </c>
      <c r="C10" s="7">
        <f>AVERAGE(DataTAB!F87:F91)</f>
        <v>4.6234092929659685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BBEB-1848-4BCB-A5FB-B0B276C8B7BA}">
  <dimension ref="A1:G36"/>
  <sheetViews>
    <sheetView topLeftCell="A9" workbookViewId="0">
      <selection activeCell="F30" sqref="F30"/>
    </sheetView>
  </sheetViews>
  <sheetFormatPr defaultRowHeight="14.25"/>
  <cols>
    <col min="1" max="1" width="32.86328125" bestFit="1" customWidth="1"/>
    <col min="2" max="2" width="18.1328125" bestFit="1" customWidth="1"/>
    <col min="3" max="3" width="17.86328125" bestFit="1" customWidth="1"/>
    <col min="4" max="7" width="12" bestFit="1" customWidth="1"/>
  </cols>
  <sheetData>
    <row r="1" spans="1:4">
      <c r="A1" t="s">
        <v>50</v>
      </c>
    </row>
    <row r="3" spans="1:4">
      <c r="A3" t="s">
        <v>51</v>
      </c>
      <c r="B3" t="s">
        <v>46</v>
      </c>
      <c r="C3" t="s">
        <v>45</v>
      </c>
      <c r="D3" t="s">
        <v>52</v>
      </c>
    </row>
    <row r="4" spans="1:4" ht="14.65" thickBot="1">
      <c r="A4" s="9" t="s">
        <v>47</v>
      </c>
      <c r="B4" s="9"/>
      <c r="C4" s="9"/>
      <c r="D4" s="9"/>
    </row>
    <row r="5" spans="1:4">
      <c r="A5" t="s">
        <v>53</v>
      </c>
      <c r="B5">
        <v>3</v>
      </c>
      <c r="C5">
        <v>3</v>
      </c>
      <c r="D5">
        <v>6</v>
      </c>
    </row>
    <row r="6" spans="1:4">
      <c r="A6" t="s">
        <v>54</v>
      </c>
      <c r="B6">
        <v>15.988235009959222</v>
      </c>
      <c r="C6">
        <v>26.347941135502751</v>
      </c>
      <c r="D6">
        <v>42.33617614546197</v>
      </c>
    </row>
    <row r="7" spans="1:4">
      <c r="A7" t="s">
        <v>55</v>
      </c>
      <c r="B7">
        <v>5.3294116699864071</v>
      </c>
      <c r="C7">
        <v>8.7826470451675842</v>
      </c>
      <c r="D7">
        <v>7.0560293575769952</v>
      </c>
    </row>
    <row r="8" spans="1:4">
      <c r="A8" t="s">
        <v>56</v>
      </c>
      <c r="B8">
        <v>0.58331305395614663</v>
      </c>
      <c r="C8">
        <v>0.43171780088099765</v>
      </c>
      <c r="D8">
        <v>3.9834627088556771</v>
      </c>
    </row>
    <row r="10" spans="1:4" ht="14.65" thickBot="1">
      <c r="A10" s="9" t="s">
        <v>48</v>
      </c>
      <c r="B10" s="9"/>
      <c r="C10" s="9"/>
      <c r="D10" s="9"/>
    </row>
    <row r="11" spans="1:4">
      <c r="A11" t="s">
        <v>53</v>
      </c>
      <c r="B11">
        <v>3</v>
      </c>
      <c r="C11">
        <v>3</v>
      </c>
      <c r="D11">
        <v>6</v>
      </c>
    </row>
    <row r="12" spans="1:4">
      <c r="A12" t="s">
        <v>54</v>
      </c>
      <c r="B12">
        <v>13.378238381965026</v>
      </c>
      <c r="C12">
        <v>16.276516404446184</v>
      </c>
      <c r="D12">
        <v>29.65475478641121</v>
      </c>
    </row>
    <row r="13" spans="1:4">
      <c r="A13" t="s">
        <v>55</v>
      </c>
      <c r="B13">
        <v>4.4594127939883421</v>
      </c>
      <c r="C13">
        <v>5.425505468148728</v>
      </c>
      <c r="D13">
        <v>4.9424591310685351</v>
      </c>
    </row>
    <row r="14" spans="1:4">
      <c r="A14" t="s">
        <v>56</v>
      </c>
      <c r="B14">
        <v>0.53074185249503714</v>
      </c>
      <c r="C14">
        <v>0.79711121153098929</v>
      </c>
      <c r="D14">
        <v>0.8111417421303202</v>
      </c>
    </row>
    <row r="16" spans="1:4" ht="14.65" thickBot="1">
      <c r="A16" s="9" t="s">
        <v>49</v>
      </c>
      <c r="B16" s="9"/>
      <c r="C16" s="9"/>
      <c r="D16" s="9"/>
    </row>
    <row r="17" spans="1:7">
      <c r="A17" t="s">
        <v>53</v>
      </c>
      <c r="B17">
        <v>3</v>
      </c>
      <c r="C17">
        <v>3</v>
      </c>
      <c r="D17">
        <v>6</v>
      </c>
    </row>
    <row r="18" spans="1:7">
      <c r="A18" t="s">
        <v>54</v>
      </c>
      <c r="B18">
        <v>9.3130176021522288</v>
      </c>
      <c r="C18">
        <v>10.554675376546147</v>
      </c>
      <c r="D18">
        <v>19.867692978698376</v>
      </c>
    </row>
    <row r="19" spans="1:7">
      <c r="A19" t="s">
        <v>55</v>
      </c>
      <c r="B19">
        <v>3.1043392007174098</v>
      </c>
      <c r="C19">
        <v>3.5182251255153822</v>
      </c>
      <c r="D19">
        <v>3.3112821631163958</v>
      </c>
    </row>
    <row r="20" spans="1:7">
      <c r="A20" t="s">
        <v>56</v>
      </c>
      <c r="B20">
        <v>0.17484346145290353</v>
      </c>
      <c r="C20">
        <v>0.24233722783547407</v>
      </c>
      <c r="D20">
        <v>0.21826274333911327</v>
      </c>
    </row>
    <row r="22" spans="1:7" ht="14.65" thickBot="1">
      <c r="A22" s="9" t="s">
        <v>52</v>
      </c>
      <c r="B22" s="9"/>
      <c r="C22" s="9"/>
      <c r="D22" s="9"/>
      <c r="E22" s="9"/>
    </row>
    <row r="23" spans="1:7">
      <c r="A23" t="s">
        <v>53</v>
      </c>
      <c r="B23">
        <v>9</v>
      </c>
      <c r="C23">
        <v>9</v>
      </c>
    </row>
    <row r="24" spans="1:7">
      <c r="A24" t="s">
        <v>54</v>
      </c>
      <c r="B24">
        <v>38.679490994076474</v>
      </c>
      <c r="C24">
        <v>53.179132916495078</v>
      </c>
    </row>
    <row r="25" spans="1:7">
      <c r="A25" t="s">
        <v>55</v>
      </c>
      <c r="B25">
        <v>4.2977212215640543</v>
      </c>
      <c r="C25">
        <v>5.9087925462772315</v>
      </c>
    </row>
    <row r="26" spans="1:7">
      <c r="A26" t="s">
        <v>56</v>
      </c>
      <c r="B26">
        <v>1.2652333395906297</v>
      </c>
      <c r="C26">
        <v>5.6955735627692121</v>
      </c>
    </row>
    <row r="29" spans="1:7" ht="14.65" thickBot="1">
      <c r="A29" t="s">
        <v>57</v>
      </c>
      <c r="F29" t="s">
        <v>71</v>
      </c>
    </row>
    <row r="30" spans="1:7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5" t="s">
        <v>63</v>
      </c>
      <c r="G30" s="11" t="s">
        <v>64</v>
      </c>
    </row>
    <row r="31" spans="1:7">
      <c r="A31" t="s">
        <v>67</v>
      </c>
      <c r="B31">
        <v>42.302097907162178</v>
      </c>
      <c r="C31">
        <v>2</v>
      </c>
      <c r="D31">
        <v>21.151048953581089</v>
      </c>
      <c r="E31">
        <v>45.979464881612621</v>
      </c>
      <c r="F31" s="12">
        <v>2.3654658198783527E-6</v>
      </c>
      <c r="G31">
        <v>3.8852938346523942</v>
      </c>
    </row>
    <row r="32" spans="1:7">
      <c r="A32" t="s">
        <v>66</v>
      </c>
      <c r="B32">
        <v>11.679978659908841</v>
      </c>
      <c r="C32">
        <v>1</v>
      </c>
      <c r="D32">
        <v>11.679978659908841</v>
      </c>
      <c r="E32">
        <v>25.390663592612846</v>
      </c>
      <c r="F32" s="12">
        <v>2.8982898698897758E-4</v>
      </c>
      <c r="G32">
        <v>4.7472253467225149</v>
      </c>
    </row>
    <row r="33" spans="1:7">
      <c r="A33" t="s">
        <v>70</v>
      </c>
      <c r="B33">
        <v>7.8642280954135506</v>
      </c>
      <c r="C33">
        <v>2</v>
      </c>
      <c r="D33">
        <v>3.9321140477067753</v>
      </c>
      <c r="E33">
        <v>8.5478739217053654</v>
      </c>
      <c r="F33" s="12">
        <v>4.9216455207535719E-3</v>
      </c>
      <c r="G33">
        <v>3.8852938346523942</v>
      </c>
    </row>
    <row r="34" spans="1:7">
      <c r="A34" t="s">
        <v>65</v>
      </c>
      <c r="B34">
        <v>5.5201292163031193</v>
      </c>
      <c r="C34">
        <v>12</v>
      </c>
      <c r="D34">
        <v>0.46001076802525992</v>
      </c>
    </row>
    <row r="36" spans="1:7" ht="14.65" thickBot="1">
      <c r="A36" s="10" t="s">
        <v>52</v>
      </c>
      <c r="B36" s="10">
        <v>67.366433878787689</v>
      </c>
      <c r="C36" s="10">
        <v>17</v>
      </c>
      <c r="D36" s="10"/>
      <c r="E36" s="10"/>
      <c r="F36" s="10"/>
      <c r="G36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8F1C-1C39-48C9-8723-24A35D0D1A71}">
  <dimension ref="A1:C10"/>
  <sheetViews>
    <sheetView workbookViewId="0">
      <selection activeCell="H8" sqref="H8"/>
    </sheetView>
  </sheetViews>
  <sheetFormatPr defaultRowHeight="14.25"/>
  <cols>
    <col min="1" max="1" width="12.3984375" customWidth="1"/>
    <col min="2" max="2" width="23.86328125" customWidth="1"/>
    <col min="3" max="3" width="36.86328125" customWidth="1"/>
  </cols>
  <sheetData>
    <row r="1" spans="1:3">
      <c r="A1" s="1" t="s">
        <v>0</v>
      </c>
      <c r="B1" s="1" t="s">
        <v>46</v>
      </c>
      <c r="C1" s="8" t="s">
        <v>45</v>
      </c>
    </row>
    <row r="2" spans="1:3">
      <c r="A2" s="1" t="s">
        <v>47</v>
      </c>
      <c r="B2" s="7">
        <f>AVERAGE(DataTAB!G2:G6)</f>
        <v>5.7359999999999998</v>
      </c>
      <c r="C2" s="7">
        <f>AVERAGE(DataTAB!G17:G21)</f>
        <v>5.9620000000000006</v>
      </c>
    </row>
    <row r="3" spans="1:3">
      <c r="A3" s="1" t="s">
        <v>47</v>
      </c>
      <c r="B3" s="7">
        <f>AVERAGE(DataTAB!G32:G36)</f>
        <v>5.4799999999999995</v>
      </c>
      <c r="C3" s="7">
        <f>AVERAGE(DataTAB!G47:G51)</f>
        <v>5.3980000000000006</v>
      </c>
    </row>
    <row r="4" spans="1:3">
      <c r="A4" s="1" t="s">
        <v>47</v>
      </c>
      <c r="B4" s="7">
        <f>AVERAGE(DataTAB!G62:G66)</f>
        <v>5.5280000000000005</v>
      </c>
      <c r="C4" s="7">
        <f>AVERAGE(DataTAB!G77:G81)</f>
        <v>5.5540000000000003</v>
      </c>
    </row>
    <row r="5" spans="1:3">
      <c r="A5" s="1" t="s">
        <v>48</v>
      </c>
      <c r="B5" s="17">
        <f>AVERAGE(DataTAB!G7:G11)</f>
        <v>6.3140000000000001</v>
      </c>
      <c r="C5" s="7">
        <f>AVERAGE(DataTAB!G22:G26)</f>
        <v>5.71</v>
      </c>
    </row>
    <row r="6" spans="1:3">
      <c r="A6" s="1" t="s">
        <v>48</v>
      </c>
      <c r="B6" s="7">
        <f>AVERAGE(DataTAB!G37:G41)</f>
        <v>5.8779999999999992</v>
      </c>
      <c r="C6" s="7">
        <f>AVERAGE(DataTAB!G52:G56)</f>
        <v>5.516</v>
      </c>
    </row>
    <row r="7" spans="1:3">
      <c r="A7" s="1" t="s">
        <v>48</v>
      </c>
      <c r="B7" s="7">
        <f>AVERAGE(DataTAB!G67:G71)</f>
        <v>5.9959999999999996</v>
      </c>
      <c r="C7" s="7">
        <f>AVERAGE(DataTAB!G82:G86)</f>
        <v>5.6820000000000004</v>
      </c>
    </row>
    <row r="8" spans="1:3">
      <c r="A8" s="1" t="s">
        <v>49</v>
      </c>
      <c r="B8" s="7">
        <f>AVERAGE(DataTAB!G12:G16)</f>
        <v>5.6340000000000003</v>
      </c>
      <c r="C8" s="7">
        <f>AVERAGE(DataTAB!G27:G31)</f>
        <v>6.2819999999999991</v>
      </c>
    </row>
    <row r="9" spans="1:3">
      <c r="A9" s="1" t="s">
        <v>49</v>
      </c>
      <c r="B9" s="7">
        <f>AVERAGE(DataTAB!G42:G46)</f>
        <v>5.2939999999999996</v>
      </c>
      <c r="C9" s="7">
        <f>AVERAGE(DataTAB!G57:G61)</f>
        <v>5.5920000000000005</v>
      </c>
    </row>
    <row r="10" spans="1:3">
      <c r="A10" s="1" t="s">
        <v>49</v>
      </c>
      <c r="B10" s="7">
        <f>AVERAGE(DataTAB!G72:G76)</f>
        <v>5.4619999999999997</v>
      </c>
      <c r="C10" s="7">
        <f>AVERAGE(DataTAB!G87:G91)</f>
        <v>5.6800000000000006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B041-7B2E-471A-8DFC-910C4E380715}">
  <dimension ref="A1:G36"/>
  <sheetViews>
    <sheetView topLeftCell="A9" workbookViewId="0">
      <selection activeCell="F30" sqref="F30"/>
    </sheetView>
  </sheetViews>
  <sheetFormatPr defaultRowHeight="14.25"/>
  <cols>
    <col min="1" max="1" width="32.86328125" bestFit="1" customWidth="1"/>
    <col min="2" max="2" width="18.1328125" bestFit="1" customWidth="1"/>
    <col min="3" max="3" width="17.86328125" bestFit="1" customWidth="1"/>
    <col min="4" max="4" width="12" bestFit="1" customWidth="1"/>
  </cols>
  <sheetData>
    <row r="1" spans="1:4">
      <c r="A1" t="s">
        <v>50</v>
      </c>
    </row>
    <row r="3" spans="1:4">
      <c r="A3" t="s">
        <v>51</v>
      </c>
      <c r="B3" t="s">
        <v>46</v>
      </c>
      <c r="C3" t="s">
        <v>45</v>
      </c>
      <c r="D3" t="s">
        <v>52</v>
      </c>
    </row>
    <row r="4" spans="1:4" ht="14.65" thickBot="1">
      <c r="A4" s="9" t="s">
        <v>47</v>
      </c>
      <c r="B4" s="9"/>
      <c r="C4" s="9"/>
      <c r="D4" s="9"/>
    </row>
    <row r="5" spans="1:4">
      <c r="A5" t="s">
        <v>53</v>
      </c>
      <c r="B5">
        <v>3</v>
      </c>
      <c r="C5">
        <v>3</v>
      </c>
      <c r="D5">
        <v>6</v>
      </c>
    </row>
    <row r="6" spans="1:4">
      <c r="A6" t="s">
        <v>54</v>
      </c>
      <c r="B6">
        <v>17.080000000000002</v>
      </c>
      <c r="C6">
        <v>18.558</v>
      </c>
      <c r="D6">
        <v>35.637999999999998</v>
      </c>
    </row>
    <row r="7" spans="1:4">
      <c r="A7" t="s">
        <v>55</v>
      </c>
      <c r="B7">
        <v>5.6933333333333342</v>
      </c>
      <c r="C7">
        <v>6.1859999999999999</v>
      </c>
      <c r="D7">
        <v>5.9396666666666667</v>
      </c>
    </row>
    <row r="8" spans="1:4">
      <c r="A8" t="s">
        <v>56</v>
      </c>
      <c r="B8">
        <v>2.8093333333333026E-3</v>
      </c>
      <c r="C8">
        <v>3.788799999999979E-2</v>
      </c>
      <c r="D8">
        <v>8.9095066666666542E-2</v>
      </c>
    </row>
    <row r="10" spans="1:4" ht="14.65" thickBot="1">
      <c r="A10" s="9" t="s">
        <v>48</v>
      </c>
      <c r="B10" s="9"/>
      <c r="C10" s="9"/>
      <c r="D10" s="9"/>
    </row>
    <row r="11" spans="1:4">
      <c r="A11" t="s">
        <v>53</v>
      </c>
      <c r="B11">
        <v>3</v>
      </c>
      <c r="C11">
        <v>3</v>
      </c>
      <c r="D11">
        <v>6</v>
      </c>
    </row>
    <row r="12" spans="1:4">
      <c r="A12" t="s">
        <v>54</v>
      </c>
      <c r="B12">
        <v>16.649000000000001</v>
      </c>
      <c r="C12">
        <v>17.23</v>
      </c>
      <c r="D12">
        <v>33.879000000000005</v>
      </c>
    </row>
    <row r="13" spans="1:4">
      <c r="A13" t="s">
        <v>55</v>
      </c>
      <c r="B13">
        <v>5.549666666666667</v>
      </c>
      <c r="C13">
        <v>5.7433333333333332</v>
      </c>
      <c r="D13">
        <v>5.6465000000000005</v>
      </c>
    </row>
    <row r="14" spans="1:4">
      <c r="A14" t="s">
        <v>56</v>
      </c>
      <c r="B14">
        <v>1.359633333333337E-2</v>
      </c>
      <c r="C14">
        <v>5.1849333333333136E-2</v>
      </c>
      <c r="D14">
        <v>3.7430299999999916E-2</v>
      </c>
    </row>
    <row r="16" spans="1:4" ht="14.65" thickBot="1">
      <c r="A16" s="9" t="s">
        <v>49</v>
      </c>
      <c r="B16" s="9"/>
      <c r="C16" s="9"/>
      <c r="D16" s="9"/>
    </row>
    <row r="17" spans="1:7">
      <c r="A17" t="s">
        <v>53</v>
      </c>
      <c r="B17">
        <v>3</v>
      </c>
      <c r="C17">
        <v>3</v>
      </c>
      <c r="D17">
        <v>6</v>
      </c>
    </row>
    <row r="18" spans="1:7">
      <c r="A18" t="s">
        <v>54</v>
      </c>
      <c r="B18">
        <v>16.29</v>
      </c>
      <c r="C18">
        <v>16.868000000000002</v>
      </c>
      <c r="D18">
        <v>33.157999999999994</v>
      </c>
    </row>
    <row r="19" spans="1:7">
      <c r="A19" t="s">
        <v>55</v>
      </c>
      <c r="B19">
        <v>5.43</v>
      </c>
      <c r="C19">
        <v>5.6226666666666674</v>
      </c>
      <c r="D19">
        <v>5.5263333333333327</v>
      </c>
    </row>
    <row r="20" spans="1:7">
      <c r="A20" t="s">
        <v>56</v>
      </c>
      <c r="B20">
        <v>1.4196000000000033E-2</v>
      </c>
      <c r="C20">
        <v>5.8305333333332987E-2</v>
      </c>
      <c r="D20">
        <v>4.0136666666666584E-2</v>
      </c>
    </row>
    <row r="22" spans="1:7" ht="14.65" thickBot="1">
      <c r="A22" s="9" t="s">
        <v>52</v>
      </c>
      <c r="B22" s="9"/>
      <c r="C22" s="9"/>
      <c r="D22" s="9"/>
      <c r="E22" s="9"/>
    </row>
    <row r="23" spans="1:7">
      <c r="A23" t="s">
        <v>53</v>
      </c>
      <c r="B23">
        <v>9</v>
      </c>
      <c r="C23">
        <v>9</v>
      </c>
    </row>
    <row r="24" spans="1:7">
      <c r="A24" t="s">
        <v>54</v>
      </c>
      <c r="B24">
        <v>50.018999999999998</v>
      </c>
      <c r="C24">
        <v>52.655999999999999</v>
      </c>
    </row>
    <row r="25" spans="1:7">
      <c r="A25" t="s">
        <v>55</v>
      </c>
      <c r="B25">
        <v>5.5576666666666661</v>
      </c>
      <c r="C25">
        <v>5.8506666666666662</v>
      </c>
    </row>
    <row r="26" spans="1:7">
      <c r="A26" t="s">
        <v>56</v>
      </c>
      <c r="B26">
        <v>2.068850000000004E-2</v>
      </c>
      <c r="C26">
        <v>0.10299299999999979</v>
      </c>
    </row>
    <row r="29" spans="1:7" ht="14.65" thickBot="1">
      <c r="A29" t="s">
        <v>57</v>
      </c>
      <c r="F29" t="s">
        <v>73</v>
      </c>
    </row>
    <row r="30" spans="1:7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5" t="s">
        <v>63</v>
      </c>
      <c r="G30" s="11" t="s">
        <v>64</v>
      </c>
    </row>
    <row r="31" spans="1:7">
      <c r="A31" t="s">
        <v>67</v>
      </c>
      <c r="B31">
        <v>0.5424623333333336</v>
      </c>
      <c r="C31">
        <v>2</v>
      </c>
      <c r="D31">
        <v>0.2712311666666668</v>
      </c>
      <c r="E31">
        <v>9.1096480343625448</v>
      </c>
      <c r="F31" s="12">
        <v>3.9208607140411066E-3</v>
      </c>
      <c r="G31">
        <v>3.8852938346523942</v>
      </c>
    </row>
    <row r="32" spans="1:7">
      <c r="A32" t="s">
        <v>72</v>
      </c>
      <c r="B32">
        <v>0.38632050000000007</v>
      </c>
      <c r="C32">
        <v>1</v>
      </c>
      <c r="D32">
        <v>0.38632050000000007</v>
      </c>
      <c r="E32">
        <v>12.975071510804575</v>
      </c>
      <c r="F32" s="12">
        <v>3.6319343292585695E-3</v>
      </c>
      <c r="G32">
        <v>4.7472253467225149</v>
      </c>
    </row>
    <row r="33" spans="1:7">
      <c r="A33" t="s">
        <v>68</v>
      </c>
      <c r="B33">
        <v>8.9700999999999809E-2</v>
      </c>
      <c r="C33">
        <v>2</v>
      </c>
      <c r="D33">
        <v>4.4850499999999904E-2</v>
      </c>
      <c r="E33">
        <v>1.5063618026880252</v>
      </c>
      <c r="F33" s="12">
        <v>0.26081378526367871</v>
      </c>
      <c r="G33">
        <v>3.8852938346523942</v>
      </c>
    </row>
    <row r="34" spans="1:7">
      <c r="A34" t="s">
        <v>65</v>
      </c>
      <c r="B34">
        <v>0.35728866666666526</v>
      </c>
      <c r="C34">
        <v>12</v>
      </c>
      <c r="D34">
        <v>2.9774055555555439E-2</v>
      </c>
    </row>
    <row r="36" spans="1:7" ht="14.65" thickBot="1">
      <c r="A36" s="10" t="s">
        <v>52</v>
      </c>
      <c r="B36" s="10">
        <v>1.3757724999999987</v>
      </c>
      <c r="C36" s="10">
        <v>17</v>
      </c>
      <c r="D36" s="10"/>
      <c r="E36" s="10"/>
      <c r="F36" s="10"/>
      <c r="G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DataTAB</vt:lpstr>
      <vt:lpstr>BD_Two-way Anova</vt:lpstr>
      <vt:lpstr>BD_Two-was Anova Result</vt:lpstr>
      <vt:lpstr>SOM_Two-way Anova</vt:lpstr>
      <vt:lpstr>SOM-Two-way Anova Result</vt:lpstr>
      <vt:lpstr>pH_Two-way Anova</vt:lpstr>
      <vt:lpstr>pH_TWo-way Anova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Kyungsoo Yoo</dc:creator>
  <cp:lastModifiedBy>Nate Lund</cp:lastModifiedBy>
  <dcterms:created xsi:type="dcterms:W3CDTF">2026-02-11T22:38:10Z</dcterms:created>
  <dcterms:modified xsi:type="dcterms:W3CDTF">2026-02-25T14:56:27Z</dcterms:modified>
</cp:coreProperties>
</file>